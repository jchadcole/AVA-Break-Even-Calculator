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or" sheetId="1" state="visible" r:id="rId1"/>
    <sheet name="Ladder" sheetId="2" state="visible" r:id="rId2"/>
    <sheet name="Che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0.0%"/>
    <numFmt numFmtId="166" formatCode="#,##0.0"/>
    <numFmt numFmtId="167" formatCode="$0.00"/>
    <numFmt numFmtId="168" formatCode="$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color rgb="000000FF"/>
    </font>
    <font>
      <i val="1"/>
      <color rgb="00666666"/>
    </font>
    <font>
      <b val="1"/>
    </font>
  </fonts>
  <fills count="4">
    <fill>
      <patternFill/>
    </fill>
    <fill>
      <patternFill patternType="gray125"/>
    </fill>
    <fill>
      <patternFill patternType="solid">
        <fgColor rgb="000F6E78"/>
      </patternFill>
    </fill>
    <fill>
      <patternFill patternType="solid">
        <fgColor rgb="00EAF4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3" fontId="3" fillId="3" borderId="0" pivotButton="0" quotePrefix="0" xfId="0"/>
    <xf numFmtId="164" fontId="3" fillId="3" borderId="0" pivotButton="0" quotePrefix="0" xfId="0"/>
    <xf numFmtId="165" fontId="3" fillId="3" borderId="0" pivotButton="0" quotePrefix="0" xfId="0"/>
    <xf numFmtId="166" fontId="3" fillId="3" borderId="0" pivotButton="0" quotePrefix="0" xfId="0"/>
    <xf numFmtId="167" fontId="3" fillId="3" borderId="0" pivotButton="0" quotePrefix="0" xfId="0"/>
    <xf numFmtId="1" fontId="3" fillId="3" borderId="0" pivotButton="0" quotePrefix="0" xfId="0"/>
    <xf numFmtId="2" fontId="0" fillId="0" borderId="0" pivotButton="0" quotePrefix="0" xfId="0"/>
    <xf numFmtId="0" fontId="4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60" customWidth="1" min="5" max="5"/>
  </cols>
  <sheetData>
    <row r="1">
      <c r="A1" s="1" t="inlineStr">
        <is>
          <t>AVA containment break-even: validation workbook</t>
        </is>
      </c>
    </row>
    <row r="2">
      <c r="A2" t="inlineStr">
        <is>
          <t>Blue cells are inputs. Every other number is a formula you can inspect. Enter the same inputs as the web page and compare.</t>
        </is>
      </c>
    </row>
    <row r="4">
      <c r="A4" s="2" t="inlineStr">
        <is>
          <t>Supplied values (monthly basis)</t>
        </is>
      </c>
      <c r="B4" s="3" t="n"/>
      <c r="C4" s="3" t="n"/>
      <c r="D4" s="3" t="n"/>
      <c r="E4" s="3" t="n"/>
    </row>
    <row r="5">
      <c r="A5" t="inlineStr">
        <is>
          <t>Inbound calls per month</t>
        </is>
      </c>
      <c r="B5" s="4" t="n">
        <v>96000</v>
      </c>
    </row>
    <row r="6">
      <c r="A6" t="inlineStr">
        <is>
          <t>Fully loaded agent cost (per agent, per month)</t>
        </is>
      </c>
      <c r="B6" s="5" t="n">
        <v>7000</v>
      </c>
    </row>
    <row r="7">
      <c r="A7" t="inlineStr">
        <is>
          <t>Agent occupancy rate</t>
        </is>
      </c>
      <c r="B7" s="6" t="n">
        <v>0.8</v>
      </c>
    </row>
    <row r="8">
      <c r="A8" t="inlineStr">
        <is>
          <t>Average call time (sec)</t>
        </is>
      </c>
      <c r="B8" s="4" t="n">
        <v>600</v>
      </c>
    </row>
    <row r="9">
      <c r="A9" t="inlineStr">
        <is>
          <t>Paid hours per agent per month (one FTE)</t>
        </is>
      </c>
      <c r="B9" s="7" t="n">
        <v>173</v>
      </c>
    </row>
    <row r="10">
      <c r="A10" t="inlineStr">
        <is>
          <t>% of agent time spent on these calls</t>
        </is>
      </c>
      <c r="B10" s="6" t="n">
        <v>0.75</v>
      </c>
    </row>
    <row r="11">
      <c r="A11" t="inlineStr">
        <is>
          <t>% of calls that go directly to an agent</t>
        </is>
      </c>
      <c r="B11" s="6" t="n">
        <v>0.1</v>
      </c>
    </row>
    <row r="12">
      <c r="A12" t="inlineStr">
        <is>
          <t>% of calls contained in IVR</t>
        </is>
      </c>
      <c r="B12" s="6" t="n">
        <v>0.2</v>
      </c>
    </row>
    <row r="13">
      <c r="A13" t="inlineStr">
        <is>
          <t>% of calls contained in AVA (target, % of ALL calls)</t>
        </is>
      </c>
      <c r="B13" s="6" t="n">
        <v>0.5</v>
      </c>
    </row>
    <row r="14">
      <c r="A14" t="inlineStr">
        <is>
          <t>IVR cost per call (only calls that never reach AVA)</t>
        </is>
      </c>
      <c r="B14" s="8" t="n">
        <v>0.5</v>
      </c>
    </row>
    <row r="15">
      <c r="A15" t="inlineStr">
        <is>
          <t>AVA cost per call (replaces the IVR fee)</t>
        </is>
      </c>
      <c r="B15" s="8" t="n">
        <v>1.2</v>
      </c>
    </row>
    <row r="16">
      <c r="A16" t="inlineStr">
        <is>
          <t>Charge AVA on escalated calls too (1 = yes, 0 = no)</t>
        </is>
      </c>
      <c r="B16" s="9" t="n">
        <v>1</v>
      </c>
    </row>
    <row r="17">
      <c r="A17" t="inlineStr">
        <is>
          <t>Round FTEs up to whole people (1 = yes, 0 = fractional)</t>
        </is>
      </c>
      <c r="B17" s="9" t="n">
        <v>1</v>
      </c>
    </row>
    <row r="18">
      <c r="A18" t="inlineStr">
        <is>
          <t>AVA platform fee per month</t>
        </is>
      </c>
      <c r="B18" s="5" t="n">
        <v>0</v>
      </c>
    </row>
    <row r="19">
      <c r="A19" t="inlineStr">
        <is>
          <t>AVA implementation (one-time)</t>
        </is>
      </c>
      <c r="B19" s="5" t="n">
        <v>0</v>
      </c>
    </row>
    <row r="20">
      <c r="A20" t="inlineStr">
        <is>
          <t>Spread implementation over (months)</t>
        </is>
      </c>
      <c r="B20" s="9" t="n">
        <v>36</v>
      </c>
    </row>
    <row r="22">
      <c r="A22" s="2" t="inlineStr">
        <is>
          <t>Calculated values</t>
        </is>
      </c>
      <c r="B22" s="3" t="n"/>
      <c r="C22" s="3" t="n"/>
      <c r="D22" s="3" t="n"/>
      <c r="E22" s="3" t="n"/>
    </row>
    <row r="23">
      <c r="A23" t="inlineStr">
        <is>
          <t>Agent calls per hour</t>
        </is>
      </c>
      <c r="B23" s="10">
        <f>3600/$B$8*$B$7</f>
        <v/>
      </c>
      <c r="E23" s="11" t="inlineStr">
        <is>
          <t>3600 ÷ call time × occupancy</t>
        </is>
      </c>
    </row>
    <row r="24">
      <c r="A24" t="inlineStr">
        <is>
          <t>Handle hours per FTE per month</t>
        </is>
      </c>
      <c r="B24" s="12">
        <f>$B$9*$B$10*$B$7</f>
        <v/>
      </c>
      <c r="E24" s="11" t="inlineStr">
        <is>
          <t>paid hours × % on these calls × occupancy</t>
        </is>
      </c>
    </row>
    <row r="25">
      <c r="A25" t="inlineStr">
        <is>
          <t>Calls per FTE per month</t>
        </is>
      </c>
      <c r="B25" s="13">
        <f>B24*3600/$B$8</f>
        <v/>
      </c>
      <c r="E25" s="11" t="inlineStr">
        <is>
          <t>handle hours per FTE × 3600 ÷ call time</t>
        </is>
      </c>
    </row>
    <row r="26">
      <c r="A26" t="inlineStr">
        <is>
          <t>Agent cost per call</t>
        </is>
      </c>
      <c r="B26" s="14">
        <f>$B$6/B25</f>
        <v/>
      </c>
      <c r="E26" s="11" t="inlineStr">
        <is>
          <t>agent cost ÷ calls per FTE per month</t>
        </is>
      </c>
    </row>
    <row r="27">
      <c r="A27" t="inlineStr">
        <is>
          <t>% of calls reaching AVA</t>
        </is>
      </c>
      <c r="B27" s="15">
        <f>1-$B$11-$B$12</f>
        <v/>
      </c>
      <c r="E27" s="11" t="inlineStr">
        <is>
          <t>100% − direct − IVR contained</t>
        </is>
      </c>
    </row>
    <row r="28">
      <c r="A28" t="inlineStr">
        <is>
          <t>% IVR → AVA → Agent (at target)</t>
        </is>
      </c>
      <c r="B28" s="15">
        <f>B27-$B$13</f>
        <v/>
      </c>
      <c r="E28" s="11" t="inlineStr">
        <is>
          <t>reaching AVA − AVA contained</t>
        </is>
      </c>
    </row>
    <row r="29">
      <c r="A29" t="inlineStr">
        <is>
          <t>Check: four paths add to 100%</t>
        </is>
      </c>
      <c r="B29" s="15">
        <f>$B$11+$B$12+$B$13+B28</f>
        <v/>
      </c>
      <c r="E29" s="11" t="inlineStr">
        <is>
          <t>must equal 100.0%</t>
        </is>
      </c>
    </row>
    <row r="30">
      <c r="A30" t="inlineStr">
        <is>
          <t>AVA fixed cost per month</t>
        </is>
      </c>
      <c r="B30" s="16">
        <f>$B$18+$B$19/$B$20</f>
        <v/>
      </c>
      <c r="E30" s="11" t="inlineStr">
        <is>
          <t>platform fee + implementation ÷ months</t>
        </is>
      </c>
    </row>
    <row r="32">
      <c r="A32" s="2" t="inlineStr">
        <is>
          <t>Monthly cost comparison</t>
        </is>
      </c>
      <c r="B32" s="2" t="inlineStr">
        <is>
          <t>Without AVA</t>
        </is>
      </c>
      <c r="C32" s="2" t="inlineStr">
        <is>
          <t>At target</t>
        </is>
      </c>
      <c r="D32" s="2" t="inlineStr">
        <is>
          <t>Change</t>
        </is>
      </c>
      <c r="E32" s="3" t="n"/>
    </row>
    <row r="33">
      <c r="A33" t="inlineStr">
        <is>
          <t>Agent-handled calls</t>
        </is>
      </c>
      <c r="B33" s="17">
        <f>($B$11+$B$27)*$B$5</f>
        <v/>
      </c>
      <c r="C33" s="17">
        <f>($B$11+$B$28)*$B$5</f>
        <v/>
      </c>
      <c r="D33" s="17">
        <f>C33-B33</f>
        <v/>
      </c>
    </row>
    <row r="34">
      <c r="A34" t="inlineStr">
        <is>
          <t>Agent handle hours</t>
        </is>
      </c>
      <c r="B34" s="13">
        <f>B33*$B$8/3600</f>
        <v/>
      </c>
      <c r="C34" s="13">
        <f>C33*$B$8/3600</f>
        <v/>
      </c>
      <c r="D34" s="13">
        <f>C34-B34</f>
        <v/>
      </c>
    </row>
    <row r="35">
      <c r="A35" t="inlineStr">
        <is>
          <t>Agent FTEs required</t>
        </is>
      </c>
      <c r="B35" s="12">
        <f>IF($B$17=1,ROUNDUP(B34/$B$24-0.000000001,0),B34/$B$24)</f>
        <v/>
      </c>
      <c r="C35" s="12">
        <f>IF($B$17=1,ROUNDUP(C34/$B$24-0.000000001,0),C34/$B$24)</f>
        <v/>
      </c>
      <c r="D35" s="12">
        <f>C35-B35</f>
        <v/>
      </c>
    </row>
    <row r="36">
      <c r="A36" t="inlineStr">
        <is>
          <t>Agent labor</t>
        </is>
      </c>
      <c r="B36" s="16">
        <f>B35*$B$6</f>
        <v/>
      </c>
      <c r="C36" s="16">
        <f>C35*$B$6</f>
        <v/>
      </c>
      <c r="D36" s="16">
        <f>C36-B36</f>
        <v/>
      </c>
    </row>
    <row r="37">
      <c r="A37" t="inlineStr">
        <is>
          <t>IVR cost</t>
        </is>
      </c>
      <c r="B37" s="16">
        <f>(1-$B$11)*$B$5*$B$14</f>
        <v/>
      </c>
      <c r="C37" s="16">
        <f>$B$12*$B$5*$B$14</f>
        <v/>
      </c>
      <c r="D37" s="16">
        <f>C37-B37</f>
        <v/>
      </c>
    </row>
    <row r="38">
      <c r="A38" t="inlineStr">
        <is>
          <t>AVA per-call cost</t>
        </is>
      </c>
      <c r="B38" s="16">
        <f>0</f>
        <v/>
      </c>
      <c r="C38" s="16">
        <f>IF($B$16=1,$B$27,$B$13)*$B$5*$B$15</f>
        <v/>
      </c>
      <c r="D38" s="16">
        <f>C38-B38</f>
        <v/>
      </c>
    </row>
    <row r="39">
      <c r="A39" t="inlineStr">
        <is>
          <t>AVA fixed cost</t>
        </is>
      </c>
      <c r="B39" s="16">
        <f>0</f>
        <v/>
      </c>
      <c r="C39" s="16">
        <f>$B$30</f>
        <v/>
      </c>
      <c r="D39" s="16">
        <f>C39-B39</f>
        <v/>
      </c>
    </row>
    <row r="40">
      <c r="A40" s="18" t="inlineStr">
        <is>
          <t>Total monthly cost</t>
        </is>
      </c>
      <c r="B40" s="19">
        <f>SUM(B36:B39)</f>
        <v/>
      </c>
      <c r="C40" s="19">
        <f>SUM(C36:C39)</f>
        <v/>
      </c>
      <c r="D40" s="19">
        <f>C40-B40</f>
        <v/>
      </c>
    </row>
    <row r="42">
      <c r="A42" s="18" t="inlineStr">
        <is>
          <t>Monthly savings at target</t>
        </is>
      </c>
      <c r="B42" s="16">
        <f>B40-C40</f>
        <v/>
      </c>
    </row>
    <row r="43">
      <c r="A43" t="inlineStr">
        <is>
          <t>Annual savings at target</t>
        </is>
      </c>
      <c r="B43" s="16">
        <f>B42*12</f>
        <v/>
      </c>
    </row>
    <row r="45">
      <c r="A45" s="2" t="inlineStr">
        <is>
          <t>Hours automated → FTEs saved → dollars (at target)</t>
        </is>
      </c>
      <c r="B45" s="3" t="n"/>
      <c r="C45" s="3" t="n"/>
      <c r="D45" s="3" t="n"/>
      <c r="E45" s="3" t="n"/>
    </row>
    <row r="46">
      <c r="A46" t="inlineStr">
        <is>
          <t>Agent hours automated per month</t>
        </is>
      </c>
      <c r="B46" s="13">
        <f>$B$13*$B$5*$B$8/3600</f>
        <v/>
      </c>
      <c r="E46" s="11" t="inlineStr">
        <is>
          <t>AVA-contained calls × call time ÷ 3600</t>
        </is>
      </c>
    </row>
    <row r="47">
      <c r="A47" t="inlineStr">
        <is>
          <t>FTEs saved (fractional)</t>
        </is>
      </c>
      <c r="B47" s="12">
        <f>B46/B24</f>
        <v/>
      </c>
      <c r="E47" s="11" t="inlineStr">
        <is>
          <t>hours automated ÷ handle hours per FTE</t>
        </is>
      </c>
    </row>
    <row r="48">
      <c r="A48" t="inlineStr">
        <is>
          <t>FTEs saved (as staffed)</t>
        </is>
      </c>
      <c r="B48" s="12">
        <f>B35-C35</f>
        <v/>
      </c>
      <c r="E48" s="11" t="inlineStr">
        <is>
          <t>FTEs without AVA − FTEs at target (whole people if rounding is on)</t>
        </is>
      </c>
    </row>
    <row r="49">
      <c r="A49" t="inlineStr">
        <is>
          <t>Labor saved</t>
        </is>
      </c>
      <c r="B49" s="16">
        <f>B48*$B$6</f>
        <v/>
      </c>
      <c r="E49" s="11" t="inlineStr">
        <is>
          <t>FTEs saved × fully loaded cost</t>
        </is>
      </c>
    </row>
    <row r="50">
      <c r="A50" t="inlineStr">
        <is>
          <t>IVR fees avoided</t>
        </is>
      </c>
      <c r="B50" s="16">
        <f>B37-C37</f>
        <v/>
      </c>
      <c r="E50" s="11" t="inlineStr">
        <is>
          <t>calls reaching AVA × IVR cost per call (they pay the AVA fee instead)</t>
        </is>
      </c>
    </row>
    <row r="51">
      <c r="A51" t="inlineStr">
        <is>
          <t>AVA cost (per-call + fixed)</t>
        </is>
      </c>
      <c r="B51" s="16">
        <f>C38+C39</f>
        <v/>
      </c>
      <c r="E51" s="11" t="inlineStr"/>
    </row>
    <row r="52">
      <c r="A52" t="inlineStr">
        <is>
          <t>Net monthly savings</t>
        </is>
      </c>
      <c r="B52" s="16">
        <f>B49+B50-B51</f>
        <v/>
      </c>
      <c r="E52" s="11" t="inlineStr">
        <is>
          <t>labor saved + IVR fees avoided − AVA cost; must equal monthly savings above</t>
        </is>
      </c>
    </row>
    <row r="54">
      <c r="A54" s="2" t="inlineStr">
        <is>
          <t>Break-even AVA containment (% of all calls)</t>
        </is>
      </c>
      <c r="B54" s="3" t="n"/>
      <c r="C54" s="3" t="n"/>
      <c r="D54" s="3" t="n"/>
      <c r="E54" s="3" t="n"/>
    </row>
    <row r="55">
      <c r="A55" t="inlineStr">
        <is>
          <t>First 0.1% step at or above break-even (works with or without rounding)</t>
        </is>
      </c>
      <c r="B55" s="15">
        <f>_xlfn.MINIFS(Ladder!A:A,Ladder!H:H,"&gt;=0")</f>
        <v/>
      </c>
      <c r="E55" s="11" t="inlineStr">
        <is>
          <t>lowest containment in the Ladder sheet with savings ≥ 0</t>
        </is>
      </c>
    </row>
    <row r="56">
      <c r="A56" t="inlineStr">
        <is>
          <t>Same, as % of calls reaching AVA</t>
        </is>
      </c>
      <c r="B56" s="15">
        <f>B55/B27</f>
        <v/>
      </c>
    </row>
    <row r="57">
      <c r="A57" t="inlineStr">
        <is>
          <t>Closed form, fractional agents (cross-check)</t>
        </is>
      </c>
      <c r="B57" s="20">
        <f>MAX(0,IF($B$16=1,(B27*$B$5*($B$15-$B$14)+B30)/($B$5*B26),(B30-B27*$B$5*$B$14)/($B$5*(B26-$B$15))))</f>
        <v/>
      </c>
      <c r="E57" s="11" t="inlineStr">
        <is>
          <t>charged: (AVA calls × AVA cost + fixed) ÷ (calls × agent cost per call); not charged: fixed ÷ (calls × (agent cost per call − AVA cost))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AVA contained (% all calls)</t>
        </is>
      </c>
      <c r="B1" s="2" t="inlineStr">
        <is>
          <t>% of AVA calls</t>
        </is>
      </c>
      <c r="C1" s="2" t="inlineStr">
        <is>
          <t>IVR → AVA → Agent</t>
        </is>
      </c>
      <c r="D1" s="2" t="inlineStr">
        <is>
          <t>Agent calls</t>
        </is>
      </c>
      <c r="E1" s="2" t="inlineStr">
        <is>
          <t>FTEs needed</t>
        </is>
      </c>
      <c r="F1" s="2" t="inlineStr">
        <is>
          <t>AVA per-call cost</t>
        </is>
      </c>
      <c r="G1" s="2" t="inlineStr">
        <is>
          <t>Total monthly cost</t>
        </is>
      </c>
      <c r="H1" s="2" t="inlineStr">
        <is>
          <t>Monthly savings</t>
        </is>
      </c>
      <c r="I1" s="2" t="inlineStr">
        <is>
          <t>Agent hours automated</t>
        </is>
      </c>
      <c r="J1" s="2" t="inlineStr">
        <is>
          <t>FTEs saved</t>
        </is>
      </c>
    </row>
    <row r="2">
      <c r="A2" s="15">
        <f>IF(0/1000&lt;=Calculator!$B$27+0.0000001,0/1000,"")</f>
        <v/>
      </c>
      <c r="B2" s="15">
        <f>IF(A2="","",A2/Calculator!$B$27)</f>
        <v/>
      </c>
      <c r="C2" s="15">
        <f>IF(A2="","",Calculator!$B$27-A2)</f>
        <v/>
      </c>
      <c r="D2" s="17">
        <f>IF(A2="","",(Calculator!$B$11+C2)*Calculator!$B$5)</f>
        <v/>
      </c>
      <c r="E2" s="12">
        <f>IF(A2="","",IF(Calculator!$B$17=1,ROUNDUP(D2*Calculator!$B$8/3600/Calculator!$B$24-0.000000001,0),D2*Calculator!$B$8/3600/Calculator!$B$24))</f>
        <v/>
      </c>
      <c r="F2" s="16">
        <f>IF(A2="","",IF(Calculator!$B$16=1,Calculator!$B$27,A2)*Calculator!$B$5*Calculator!$B$15)</f>
        <v/>
      </c>
      <c r="G2" s="16">
        <f>IF(A2="","",E2*Calculator!$B$6+Calculator!$C$37+F2+Calculator!$B$30)</f>
        <v/>
      </c>
      <c r="H2" s="16">
        <f>IF(A2="","",Calculator!$B$40-G2)</f>
        <v/>
      </c>
      <c r="I2" s="17">
        <f>IF(A2="","",A2*Calculator!$B$5*Calculator!$B$8/3600)</f>
        <v/>
      </c>
      <c r="J2" s="12">
        <f>IF(A2="","",Calculator!$B$35-E2)</f>
        <v/>
      </c>
    </row>
    <row r="3">
      <c r="A3" s="15">
        <f>IF(1/1000&lt;=Calculator!$B$27+0.0000001,1/1000,"")</f>
        <v/>
      </c>
      <c r="B3" s="15">
        <f>IF(A3="","",A3/Calculator!$B$27)</f>
        <v/>
      </c>
      <c r="C3" s="15">
        <f>IF(A3="","",Calculator!$B$27-A3)</f>
        <v/>
      </c>
      <c r="D3" s="17">
        <f>IF(A3="","",(Calculator!$B$11+C3)*Calculator!$B$5)</f>
        <v/>
      </c>
      <c r="E3" s="12">
        <f>IF(A3="","",IF(Calculator!$B$17=1,ROUNDUP(D3*Calculator!$B$8/3600/Calculator!$B$24-0.000000001,0),D3*Calculator!$B$8/3600/Calculator!$B$24))</f>
        <v/>
      </c>
      <c r="F3" s="16">
        <f>IF(A3="","",IF(Calculator!$B$16=1,Calculator!$B$27,A3)*Calculator!$B$5*Calculator!$B$15)</f>
        <v/>
      </c>
      <c r="G3" s="16">
        <f>IF(A3="","",E3*Calculator!$B$6+Calculator!$C$37+F3+Calculator!$B$30)</f>
        <v/>
      </c>
      <c r="H3" s="16">
        <f>IF(A3="","",Calculator!$B$40-G3)</f>
        <v/>
      </c>
      <c r="I3" s="17">
        <f>IF(A3="","",A3*Calculator!$B$5*Calculator!$B$8/3600)</f>
        <v/>
      </c>
      <c r="J3" s="12">
        <f>IF(A3="","",Calculator!$B$35-E3)</f>
        <v/>
      </c>
    </row>
    <row r="4">
      <c r="A4" s="15">
        <f>IF(2/1000&lt;=Calculator!$B$27+0.0000001,2/1000,"")</f>
        <v/>
      </c>
      <c r="B4" s="15">
        <f>IF(A4="","",A4/Calculator!$B$27)</f>
        <v/>
      </c>
      <c r="C4" s="15">
        <f>IF(A4="","",Calculator!$B$27-A4)</f>
        <v/>
      </c>
      <c r="D4" s="17">
        <f>IF(A4="","",(Calculator!$B$11+C4)*Calculator!$B$5)</f>
        <v/>
      </c>
      <c r="E4" s="12">
        <f>IF(A4="","",IF(Calculator!$B$17=1,ROUNDUP(D4*Calculator!$B$8/3600/Calculator!$B$24-0.000000001,0),D4*Calculator!$B$8/3600/Calculator!$B$24))</f>
        <v/>
      </c>
      <c r="F4" s="16">
        <f>IF(A4="","",IF(Calculator!$B$16=1,Calculator!$B$27,A4)*Calculator!$B$5*Calculator!$B$15)</f>
        <v/>
      </c>
      <c r="G4" s="16">
        <f>IF(A4="","",E4*Calculator!$B$6+Calculator!$C$37+F4+Calculator!$B$30)</f>
        <v/>
      </c>
      <c r="H4" s="16">
        <f>IF(A4="","",Calculator!$B$40-G4)</f>
        <v/>
      </c>
      <c r="I4" s="17">
        <f>IF(A4="","",A4*Calculator!$B$5*Calculator!$B$8/3600)</f>
        <v/>
      </c>
      <c r="J4" s="12">
        <f>IF(A4="","",Calculator!$B$35-E4)</f>
        <v/>
      </c>
    </row>
    <row r="5">
      <c r="A5" s="15">
        <f>IF(3/1000&lt;=Calculator!$B$27+0.0000001,3/1000,"")</f>
        <v/>
      </c>
      <c r="B5" s="15">
        <f>IF(A5="","",A5/Calculator!$B$27)</f>
        <v/>
      </c>
      <c r="C5" s="15">
        <f>IF(A5="","",Calculator!$B$27-A5)</f>
        <v/>
      </c>
      <c r="D5" s="17">
        <f>IF(A5="","",(Calculator!$B$11+C5)*Calculator!$B$5)</f>
        <v/>
      </c>
      <c r="E5" s="12">
        <f>IF(A5="","",IF(Calculator!$B$17=1,ROUNDUP(D5*Calculator!$B$8/3600/Calculator!$B$24-0.000000001,0),D5*Calculator!$B$8/3600/Calculator!$B$24))</f>
        <v/>
      </c>
      <c r="F5" s="16">
        <f>IF(A5="","",IF(Calculator!$B$16=1,Calculator!$B$27,A5)*Calculator!$B$5*Calculator!$B$15)</f>
        <v/>
      </c>
      <c r="G5" s="16">
        <f>IF(A5="","",E5*Calculator!$B$6+Calculator!$C$37+F5+Calculator!$B$30)</f>
        <v/>
      </c>
      <c r="H5" s="16">
        <f>IF(A5="","",Calculator!$B$40-G5)</f>
        <v/>
      </c>
      <c r="I5" s="17">
        <f>IF(A5="","",A5*Calculator!$B$5*Calculator!$B$8/3600)</f>
        <v/>
      </c>
      <c r="J5" s="12">
        <f>IF(A5="","",Calculator!$B$35-E5)</f>
        <v/>
      </c>
    </row>
    <row r="6">
      <c r="A6" s="15">
        <f>IF(4/1000&lt;=Calculator!$B$27+0.0000001,4/1000,"")</f>
        <v/>
      </c>
      <c r="B6" s="15">
        <f>IF(A6="","",A6/Calculator!$B$27)</f>
        <v/>
      </c>
      <c r="C6" s="15">
        <f>IF(A6="","",Calculator!$B$27-A6)</f>
        <v/>
      </c>
      <c r="D6" s="17">
        <f>IF(A6="","",(Calculator!$B$11+C6)*Calculator!$B$5)</f>
        <v/>
      </c>
      <c r="E6" s="12">
        <f>IF(A6="","",IF(Calculator!$B$17=1,ROUNDUP(D6*Calculator!$B$8/3600/Calculator!$B$24-0.000000001,0),D6*Calculator!$B$8/3600/Calculator!$B$24))</f>
        <v/>
      </c>
      <c r="F6" s="16">
        <f>IF(A6="","",IF(Calculator!$B$16=1,Calculator!$B$27,A6)*Calculator!$B$5*Calculator!$B$15)</f>
        <v/>
      </c>
      <c r="G6" s="16">
        <f>IF(A6="","",E6*Calculator!$B$6+Calculator!$C$37+F6+Calculator!$B$30)</f>
        <v/>
      </c>
      <c r="H6" s="16">
        <f>IF(A6="","",Calculator!$B$40-G6)</f>
        <v/>
      </c>
      <c r="I6" s="17">
        <f>IF(A6="","",A6*Calculator!$B$5*Calculator!$B$8/3600)</f>
        <v/>
      </c>
      <c r="J6" s="12">
        <f>IF(A6="","",Calculator!$B$35-E6)</f>
        <v/>
      </c>
    </row>
    <row r="7">
      <c r="A7" s="15">
        <f>IF(5/1000&lt;=Calculator!$B$27+0.0000001,5/1000,"")</f>
        <v/>
      </c>
      <c r="B7" s="15">
        <f>IF(A7="","",A7/Calculator!$B$27)</f>
        <v/>
      </c>
      <c r="C7" s="15">
        <f>IF(A7="","",Calculator!$B$27-A7)</f>
        <v/>
      </c>
      <c r="D7" s="17">
        <f>IF(A7="","",(Calculator!$B$11+C7)*Calculator!$B$5)</f>
        <v/>
      </c>
      <c r="E7" s="12">
        <f>IF(A7="","",IF(Calculator!$B$17=1,ROUNDUP(D7*Calculator!$B$8/3600/Calculator!$B$24-0.000000001,0),D7*Calculator!$B$8/3600/Calculator!$B$24))</f>
        <v/>
      </c>
      <c r="F7" s="16">
        <f>IF(A7="","",IF(Calculator!$B$16=1,Calculator!$B$27,A7)*Calculator!$B$5*Calculator!$B$15)</f>
        <v/>
      </c>
      <c r="G7" s="16">
        <f>IF(A7="","",E7*Calculator!$B$6+Calculator!$C$37+F7+Calculator!$B$30)</f>
        <v/>
      </c>
      <c r="H7" s="16">
        <f>IF(A7="","",Calculator!$B$40-G7)</f>
        <v/>
      </c>
      <c r="I7" s="17">
        <f>IF(A7="","",A7*Calculator!$B$5*Calculator!$B$8/3600)</f>
        <v/>
      </c>
      <c r="J7" s="12">
        <f>IF(A7="","",Calculator!$B$35-E7)</f>
        <v/>
      </c>
    </row>
    <row r="8">
      <c r="A8" s="15">
        <f>IF(6/1000&lt;=Calculator!$B$27+0.0000001,6/1000,"")</f>
        <v/>
      </c>
      <c r="B8" s="15">
        <f>IF(A8="","",A8/Calculator!$B$27)</f>
        <v/>
      </c>
      <c r="C8" s="15">
        <f>IF(A8="","",Calculator!$B$27-A8)</f>
        <v/>
      </c>
      <c r="D8" s="17">
        <f>IF(A8="","",(Calculator!$B$11+C8)*Calculator!$B$5)</f>
        <v/>
      </c>
      <c r="E8" s="12">
        <f>IF(A8="","",IF(Calculator!$B$17=1,ROUNDUP(D8*Calculator!$B$8/3600/Calculator!$B$24-0.000000001,0),D8*Calculator!$B$8/3600/Calculator!$B$24))</f>
        <v/>
      </c>
      <c r="F8" s="16">
        <f>IF(A8="","",IF(Calculator!$B$16=1,Calculator!$B$27,A8)*Calculator!$B$5*Calculator!$B$15)</f>
        <v/>
      </c>
      <c r="G8" s="16">
        <f>IF(A8="","",E8*Calculator!$B$6+Calculator!$C$37+F8+Calculator!$B$30)</f>
        <v/>
      </c>
      <c r="H8" s="16">
        <f>IF(A8="","",Calculator!$B$40-G8)</f>
        <v/>
      </c>
      <c r="I8" s="17">
        <f>IF(A8="","",A8*Calculator!$B$5*Calculator!$B$8/3600)</f>
        <v/>
      </c>
      <c r="J8" s="12">
        <f>IF(A8="","",Calculator!$B$35-E8)</f>
        <v/>
      </c>
    </row>
    <row r="9">
      <c r="A9" s="15">
        <f>IF(7/1000&lt;=Calculator!$B$27+0.0000001,7/1000,"")</f>
        <v/>
      </c>
      <c r="B9" s="15">
        <f>IF(A9="","",A9/Calculator!$B$27)</f>
        <v/>
      </c>
      <c r="C9" s="15">
        <f>IF(A9="","",Calculator!$B$27-A9)</f>
        <v/>
      </c>
      <c r="D9" s="17">
        <f>IF(A9="","",(Calculator!$B$11+C9)*Calculator!$B$5)</f>
        <v/>
      </c>
      <c r="E9" s="12">
        <f>IF(A9="","",IF(Calculator!$B$17=1,ROUNDUP(D9*Calculator!$B$8/3600/Calculator!$B$24-0.000000001,0),D9*Calculator!$B$8/3600/Calculator!$B$24))</f>
        <v/>
      </c>
      <c r="F9" s="16">
        <f>IF(A9="","",IF(Calculator!$B$16=1,Calculator!$B$27,A9)*Calculator!$B$5*Calculator!$B$15)</f>
        <v/>
      </c>
      <c r="G9" s="16">
        <f>IF(A9="","",E9*Calculator!$B$6+Calculator!$C$37+F9+Calculator!$B$30)</f>
        <v/>
      </c>
      <c r="H9" s="16">
        <f>IF(A9="","",Calculator!$B$40-G9)</f>
        <v/>
      </c>
      <c r="I9" s="17">
        <f>IF(A9="","",A9*Calculator!$B$5*Calculator!$B$8/3600)</f>
        <v/>
      </c>
      <c r="J9" s="12">
        <f>IF(A9="","",Calculator!$B$35-E9)</f>
        <v/>
      </c>
    </row>
    <row r="10">
      <c r="A10" s="15">
        <f>IF(8/1000&lt;=Calculator!$B$27+0.0000001,8/1000,"")</f>
        <v/>
      </c>
      <c r="B10" s="15">
        <f>IF(A10="","",A10/Calculator!$B$27)</f>
        <v/>
      </c>
      <c r="C10" s="15">
        <f>IF(A10="","",Calculator!$B$27-A10)</f>
        <v/>
      </c>
      <c r="D10" s="17">
        <f>IF(A10="","",(Calculator!$B$11+C10)*Calculator!$B$5)</f>
        <v/>
      </c>
      <c r="E10" s="12">
        <f>IF(A10="","",IF(Calculator!$B$17=1,ROUNDUP(D10*Calculator!$B$8/3600/Calculator!$B$24-0.000000001,0),D10*Calculator!$B$8/3600/Calculator!$B$24))</f>
        <v/>
      </c>
      <c r="F10" s="16">
        <f>IF(A10="","",IF(Calculator!$B$16=1,Calculator!$B$27,A10)*Calculator!$B$5*Calculator!$B$15)</f>
        <v/>
      </c>
      <c r="G10" s="16">
        <f>IF(A10="","",E10*Calculator!$B$6+Calculator!$C$37+F10+Calculator!$B$30)</f>
        <v/>
      </c>
      <c r="H10" s="16">
        <f>IF(A10="","",Calculator!$B$40-G10)</f>
        <v/>
      </c>
      <c r="I10" s="17">
        <f>IF(A10="","",A10*Calculator!$B$5*Calculator!$B$8/3600)</f>
        <v/>
      </c>
      <c r="J10" s="12">
        <f>IF(A10="","",Calculator!$B$35-E10)</f>
        <v/>
      </c>
    </row>
    <row r="11">
      <c r="A11" s="15">
        <f>IF(9/1000&lt;=Calculator!$B$27+0.0000001,9/1000,"")</f>
        <v/>
      </c>
      <c r="B11" s="15">
        <f>IF(A11="","",A11/Calculator!$B$27)</f>
        <v/>
      </c>
      <c r="C11" s="15">
        <f>IF(A11="","",Calculator!$B$27-A11)</f>
        <v/>
      </c>
      <c r="D11" s="17">
        <f>IF(A11="","",(Calculator!$B$11+C11)*Calculator!$B$5)</f>
        <v/>
      </c>
      <c r="E11" s="12">
        <f>IF(A11="","",IF(Calculator!$B$17=1,ROUNDUP(D11*Calculator!$B$8/3600/Calculator!$B$24-0.000000001,0),D11*Calculator!$B$8/3600/Calculator!$B$24))</f>
        <v/>
      </c>
      <c r="F11" s="16">
        <f>IF(A11="","",IF(Calculator!$B$16=1,Calculator!$B$27,A11)*Calculator!$B$5*Calculator!$B$15)</f>
        <v/>
      </c>
      <c r="G11" s="16">
        <f>IF(A11="","",E11*Calculator!$B$6+Calculator!$C$37+F11+Calculator!$B$30)</f>
        <v/>
      </c>
      <c r="H11" s="16">
        <f>IF(A11="","",Calculator!$B$40-G11)</f>
        <v/>
      </c>
      <c r="I11" s="17">
        <f>IF(A11="","",A11*Calculator!$B$5*Calculator!$B$8/3600)</f>
        <v/>
      </c>
      <c r="J11" s="12">
        <f>IF(A11="","",Calculator!$B$35-E11)</f>
        <v/>
      </c>
    </row>
    <row r="12">
      <c r="A12" s="15">
        <f>IF(10/1000&lt;=Calculator!$B$27+0.0000001,10/1000,"")</f>
        <v/>
      </c>
      <c r="B12" s="15">
        <f>IF(A12="","",A12/Calculator!$B$27)</f>
        <v/>
      </c>
      <c r="C12" s="15">
        <f>IF(A12="","",Calculator!$B$27-A12)</f>
        <v/>
      </c>
      <c r="D12" s="17">
        <f>IF(A12="","",(Calculator!$B$11+C12)*Calculator!$B$5)</f>
        <v/>
      </c>
      <c r="E12" s="12">
        <f>IF(A12="","",IF(Calculator!$B$17=1,ROUNDUP(D12*Calculator!$B$8/3600/Calculator!$B$24-0.000000001,0),D12*Calculator!$B$8/3600/Calculator!$B$24))</f>
        <v/>
      </c>
      <c r="F12" s="16">
        <f>IF(A12="","",IF(Calculator!$B$16=1,Calculator!$B$27,A12)*Calculator!$B$5*Calculator!$B$15)</f>
        <v/>
      </c>
      <c r="G12" s="16">
        <f>IF(A12="","",E12*Calculator!$B$6+Calculator!$C$37+F12+Calculator!$B$30)</f>
        <v/>
      </c>
      <c r="H12" s="16">
        <f>IF(A12="","",Calculator!$B$40-G12)</f>
        <v/>
      </c>
      <c r="I12" s="17">
        <f>IF(A12="","",A12*Calculator!$B$5*Calculator!$B$8/3600)</f>
        <v/>
      </c>
      <c r="J12" s="12">
        <f>IF(A12="","",Calculator!$B$35-E12)</f>
        <v/>
      </c>
    </row>
    <row r="13">
      <c r="A13" s="15">
        <f>IF(11/1000&lt;=Calculator!$B$27+0.0000001,11/1000,"")</f>
        <v/>
      </c>
      <c r="B13" s="15">
        <f>IF(A13="","",A13/Calculator!$B$27)</f>
        <v/>
      </c>
      <c r="C13" s="15">
        <f>IF(A13="","",Calculator!$B$27-A13)</f>
        <v/>
      </c>
      <c r="D13" s="17">
        <f>IF(A13="","",(Calculator!$B$11+C13)*Calculator!$B$5)</f>
        <v/>
      </c>
      <c r="E13" s="12">
        <f>IF(A13="","",IF(Calculator!$B$17=1,ROUNDUP(D13*Calculator!$B$8/3600/Calculator!$B$24-0.000000001,0),D13*Calculator!$B$8/3600/Calculator!$B$24))</f>
        <v/>
      </c>
      <c r="F13" s="16">
        <f>IF(A13="","",IF(Calculator!$B$16=1,Calculator!$B$27,A13)*Calculator!$B$5*Calculator!$B$15)</f>
        <v/>
      </c>
      <c r="G13" s="16">
        <f>IF(A13="","",E13*Calculator!$B$6+Calculator!$C$37+F13+Calculator!$B$30)</f>
        <v/>
      </c>
      <c r="H13" s="16">
        <f>IF(A13="","",Calculator!$B$40-G13)</f>
        <v/>
      </c>
      <c r="I13" s="17">
        <f>IF(A13="","",A13*Calculator!$B$5*Calculator!$B$8/3600)</f>
        <v/>
      </c>
      <c r="J13" s="12">
        <f>IF(A13="","",Calculator!$B$35-E13)</f>
        <v/>
      </c>
    </row>
    <row r="14">
      <c r="A14" s="15">
        <f>IF(12/1000&lt;=Calculator!$B$27+0.0000001,12/1000,"")</f>
        <v/>
      </c>
      <c r="B14" s="15">
        <f>IF(A14="","",A14/Calculator!$B$27)</f>
        <v/>
      </c>
      <c r="C14" s="15">
        <f>IF(A14="","",Calculator!$B$27-A14)</f>
        <v/>
      </c>
      <c r="D14" s="17">
        <f>IF(A14="","",(Calculator!$B$11+C14)*Calculator!$B$5)</f>
        <v/>
      </c>
      <c r="E14" s="12">
        <f>IF(A14="","",IF(Calculator!$B$17=1,ROUNDUP(D14*Calculator!$B$8/3600/Calculator!$B$24-0.000000001,0),D14*Calculator!$B$8/3600/Calculator!$B$24))</f>
        <v/>
      </c>
      <c r="F14" s="16">
        <f>IF(A14="","",IF(Calculator!$B$16=1,Calculator!$B$27,A14)*Calculator!$B$5*Calculator!$B$15)</f>
        <v/>
      </c>
      <c r="G14" s="16">
        <f>IF(A14="","",E14*Calculator!$B$6+Calculator!$C$37+F14+Calculator!$B$30)</f>
        <v/>
      </c>
      <c r="H14" s="16">
        <f>IF(A14="","",Calculator!$B$40-G14)</f>
        <v/>
      </c>
      <c r="I14" s="17">
        <f>IF(A14="","",A14*Calculator!$B$5*Calculator!$B$8/3600)</f>
        <v/>
      </c>
      <c r="J14" s="12">
        <f>IF(A14="","",Calculator!$B$35-E14)</f>
        <v/>
      </c>
    </row>
    <row r="15">
      <c r="A15" s="15">
        <f>IF(13/1000&lt;=Calculator!$B$27+0.0000001,13/1000,"")</f>
        <v/>
      </c>
      <c r="B15" s="15">
        <f>IF(A15="","",A15/Calculator!$B$27)</f>
        <v/>
      </c>
      <c r="C15" s="15">
        <f>IF(A15="","",Calculator!$B$27-A15)</f>
        <v/>
      </c>
      <c r="D15" s="17">
        <f>IF(A15="","",(Calculator!$B$11+C15)*Calculator!$B$5)</f>
        <v/>
      </c>
      <c r="E15" s="12">
        <f>IF(A15="","",IF(Calculator!$B$17=1,ROUNDUP(D15*Calculator!$B$8/3600/Calculator!$B$24-0.000000001,0),D15*Calculator!$B$8/3600/Calculator!$B$24))</f>
        <v/>
      </c>
      <c r="F15" s="16">
        <f>IF(A15="","",IF(Calculator!$B$16=1,Calculator!$B$27,A15)*Calculator!$B$5*Calculator!$B$15)</f>
        <v/>
      </c>
      <c r="G15" s="16">
        <f>IF(A15="","",E15*Calculator!$B$6+Calculator!$C$37+F15+Calculator!$B$30)</f>
        <v/>
      </c>
      <c r="H15" s="16">
        <f>IF(A15="","",Calculator!$B$40-G15)</f>
        <v/>
      </c>
      <c r="I15" s="17">
        <f>IF(A15="","",A15*Calculator!$B$5*Calculator!$B$8/3600)</f>
        <v/>
      </c>
      <c r="J15" s="12">
        <f>IF(A15="","",Calculator!$B$35-E15)</f>
        <v/>
      </c>
    </row>
    <row r="16">
      <c r="A16" s="15">
        <f>IF(14/1000&lt;=Calculator!$B$27+0.0000001,14/1000,"")</f>
        <v/>
      </c>
      <c r="B16" s="15">
        <f>IF(A16="","",A16/Calculator!$B$27)</f>
        <v/>
      </c>
      <c r="C16" s="15">
        <f>IF(A16="","",Calculator!$B$27-A16)</f>
        <v/>
      </c>
      <c r="D16" s="17">
        <f>IF(A16="","",(Calculator!$B$11+C16)*Calculator!$B$5)</f>
        <v/>
      </c>
      <c r="E16" s="12">
        <f>IF(A16="","",IF(Calculator!$B$17=1,ROUNDUP(D16*Calculator!$B$8/3600/Calculator!$B$24-0.000000001,0),D16*Calculator!$B$8/3600/Calculator!$B$24))</f>
        <v/>
      </c>
      <c r="F16" s="16">
        <f>IF(A16="","",IF(Calculator!$B$16=1,Calculator!$B$27,A16)*Calculator!$B$5*Calculator!$B$15)</f>
        <v/>
      </c>
      <c r="G16" s="16">
        <f>IF(A16="","",E16*Calculator!$B$6+Calculator!$C$37+F16+Calculator!$B$30)</f>
        <v/>
      </c>
      <c r="H16" s="16">
        <f>IF(A16="","",Calculator!$B$40-G16)</f>
        <v/>
      </c>
      <c r="I16" s="17">
        <f>IF(A16="","",A16*Calculator!$B$5*Calculator!$B$8/3600)</f>
        <v/>
      </c>
      <c r="J16" s="12">
        <f>IF(A16="","",Calculator!$B$35-E16)</f>
        <v/>
      </c>
    </row>
    <row r="17">
      <c r="A17" s="15">
        <f>IF(15/1000&lt;=Calculator!$B$27+0.0000001,15/1000,"")</f>
        <v/>
      </c>
      <c r="B17" s="15">
        <f>IF(A17="","",A17/Calculator!$B$27)</f>
        <v/>
      </c>
      <c r="C17" s="15">
        <f>IF(A17="","",Calculator!$B$27-A17)</f>
        <v/>
      </c>
      <c r="D17" s="17">
        <f>IF(A17="","",(Calculator!$B$11+C17)*Calculator!$B$5)</f>
        <v/>
      </c>
      <c r="E17" s="12">
        <f>IF(A17="","",IF(Calculator!$B$17=1,ROUNDUP(D17*Calculator!$B$8/3600/Calculator!$B$24-0.000000001,0),D17*Calculator!$B$8/3600/Calculator!$B$24))</f>
        <v/>
      </c>
      <c r="F17" s="16">
        <f>IF(A17="","",IF(Calculator!$B$16=1,Calculator!$B$27,A17)*Calculator!$B$5*Calculator!$B$15)</f>
        <v/>
      </c>
      <c r="G17" s="16">
        <f>IF(A17="","",E17*Calculator!$B$6+Calculator!$C$37+F17+Calculator!$B$30)</f>
        <v/>
      </c>
      <c r="H17" s="16">
        <f>IF(A17="","",Calculator!$B$40-G17)</f>
        <v/>
      </c>
      <c r="I17" s="17">
        <f>IF(A17="","",A17*Calculator!$B$5*Calculator!$B$8/3600)</f>
        <v/>
      </c>
      <c r="J17" s="12">
        <f>IF(A17="","",Calculator!$B$35-E17)</f>
        <v/>
      </c>
    </row>
    <row r="18">
      <c r="A18" s="15">
        <f>IF(16/1000&lt;=Calculator!$B$27+0.0000001,16/1000,"")</f>
        <v/>
      </c>
      <c r="B18" s="15">
        <f>IF(A18="","",A18/Calculator!$B$27)</f>
        <v/>
      </c>
      <c r="C18" s="15">
        <f>IF(A18="","",Calculator!$B$27-A18)</f>
        <v/>
      </c>
      <c r="D18" s="17">
        <f>IF(A18="","",(Calculator!$B$11+C18)*Calculator!$B$5)</f>
        <v/>
      </c>
      <c r="E18" s="12">
        <f>IF(A18="","",IF(Calculator!$B$17=1,ROUNDUP(D18*Calculator!$B$8/3600/Calculator!$B$24-0.000000001,0),D18*Calculator!$B$8/3600/Calculator!$B$24))</f>
        <v/>
      </c>
      <c r="F18" s="16">
        <f>IF(A18="","",IF(Calculator!$B$16=1,Calculator!$B$27,A18)*Calculator!$B$5*Calculator!$B$15)</f>
        <v/>
      </c>
      <c r="G18" s="16">
        <f>IF(A18="","",E18*Calculator!$B$6+Calculator!$C$37+F18+Calculator!$B$30)</f>
        <v/>
      </c>
      <c r="H18" s="16">
        <f>IF(A18="","",Calculator!$B$40-G18)</f>
        <v/>
      </c>
      <c r="I18" s="17">
        <f>IF(A18="","",A18*Calculator!$B$5*Calculator!$B$8/3600)</f>
        <v/>
      </c>
      <c r="J18" s="12">
        <f>IF(A18="","",Calculator!$B$35-E18)</f>
        <v/>
      </c>
    </row>
    <row r="19">
      <c r="A19" s="15">
        <f>IF(17/1000&lt;=Calculator!$B$27+0.0000001,17/1000,"")</f>
        <v/>
      </c>
      <c r="B19" s="15">
        <f>IF(A19="","",A19/Calculator!$B$27)</f>
        <v/>
      </c>
      <c r="C19" s="15">
        <f>IF(A19="","",Calculator!$B$27-A19)</f>
        <v/>
      </c>
      <c r="D19" s="17">
        <f>IF(A19="","",(Calculator!$B$11+C19)*Calculator!$B$5)</f>
        <v/>
      </c>
      <c r="E19" s="12">
        <f>IF(A19="","",IF(Calculator!$B$17=1,ROUNDUP(D19*Calculator!$B$8/3600/Calculator!$B$24-0.000000001,0),D19*Calculator!$B$8/3600/Calculator!$B$24))</f>
        <v/>
      </c>
      <c r="F19" s="16">
        <f>IF(A19="","",IF(Calculator!$B$16=1,Calculator!$B$27,A19)*Calculator!$B$5*Calculator!$B$15)</f>
        <v/>
      </c>
      <c r="G19" s="16">
        <f>IF(A19="","",E19*Calculator!$B$6+Calculator!$C$37+F19+Calculator!$B$30)</f>
        <v/>
      </c>
      <c r="H19" s="16">
        <f>IF(A19="","",Calculator!$B$40-G19)</f>
        <v/>
      </c>
      <c r="I19" s="17">
        <f>IF(A19="","",A19*Calculator!$B$5*Calculator!$B$8/3600)</f>
        <v/>
      </c>
      <c r="J19" s="12">
        <f>IF(A19="","",Calculator!$B$35-E19)</f>
        <v/>
      </c>
    </row>
    <row r="20">
      <c r="A20" s="15">
        <f>IF(18/1000&lt;=Calculator!$B$27+0.0000001,18/1000,"")</f>
        <v/>
      </c>
      <c r="B20" s="15">
        <f>IF(A20="","",A20/Calculator!$B$27)</f>
        <v/>
      </c>
      <c r="C20" s="15">
        <f>IF(A20="","",Calculator!$B$27-A20)</f>
        <v/>
      </c>
      <c r="D20" s="17">
        <f>IF(A20="","",(Calculator!$B$11+C20)*Calculator!$B$5)</f>
        <v/>
      </c>
      <c r="E20" s="12">
        <f>IF(A20="","",IF(Calculator!$B$17=1,ROUNDUP(D20*Calculator!$B$8/3600/Calculator!$B$24-0.000000001,0),D20*Calculator!$B$8/3600/Calculator!$B$24))</f>
        <v/>
      </c>
      <c r="F20" s="16">
        <f>IF(A20="","",IF(Calculator!$B$16=1,Calculator!$B$27,A20)*Calculator!$B$5*Calculator!$B$15)</f>
        <v/>
      </c>
      <c r="G20" s="16">
        <f>IF(A20="","",E20*Calculator!$B$6+Calculator!$C$37+F20+Calculator!$B$30)</f>
        <v/>
      </c>
      <c r="H20" s="16">
        <f>IF(A20="","",Calculator!$B$40-G20)</f>
        <v/>
      </c>
      <c r="I20" s="17">
        <f>IF(A20="","",A20*Calculator!$B$5*Calculator!$B$8/3600)</f>
        <v/>
      </c>
      <c r="J20" s="12">
        <f>IF(A20="","",Calculator!$B$35-E20)</f>
        <v/>
      </c>
    </row>
    <row r="21">
      <c r="A21" s="15">
        <f>IF(19/1000&lt;=Calculator!$B$27+0.0000001,19/1000,"")</f>
        <v/>
      </c>
      <c r="B21" s="15">
        <f>IF(A21="","",A21/Calculator!$B$27)</f>
        <v/>
      </c>
      <c r="C21" s="15">
        <f>IF(A21="","",Calculator!$B$27-A21)</f>
        <v/>
      </c>
      <c r="D21" s="17">
        <f>IF(A21="","",(Calculator!$B$11+C21)*Calculator!$B$5)</f>
        <v/>
      </c>
      <c r="E21" s="12">
        <f>IF(A21="","",IF(Calculator!$B$17=1,ROUNDUP(D21*Calculator!$B$8/3600/Calculator!$B$24-0.000000001,0),D21*Calculator!$B$8/3600/Calculator!$B$24))</f>
        <v/>
      </c>
      <c r="F21" s="16">
        <f>IF(A21="","",IF(Calculator!$B$16=1,Calculator!$B$27,A21)*Calculator!$B$5*Calculator!$B$15)</f>
        <v/>
      </c>
      <c r="G21" s="16">
        <f>IF(A21="","",E21*Calculator!$B$6+Calculator!$C$37+F21+Calculator!$B$30)</f>
        <v/>
      </c>
      <c r="H21" s="16">
        <f>IF(A21="","",Calculator!$B$40-G21)</f>
        <v/>
      </c>
      <c r="I21" s="17">
        <f>IF(A21="","",A21*Calculator!$B$5*Calculator!$B$8/3600)</f>
        <v/>
      </c>
      <c r="J21" s="12">
        <f>IF(A21="","",Calculator!$B$35-E21)</f>
        <v/>
      </c>
    </row>
    <row r="22">
      <c r="A22" s="15">
        <f>IF(20/1000&lt;=Calculator!$B$27+0.0000001,20/1000,"")</f>
        <v/>
      </c>
      <c r="B22" s="15">
        <f>IF(A22="","",A22/Calculator!$B$27)</f>
        <v/>
      </c>
      <c r="C22" s="15">
        <f>IF(A22="","",Calculator!$B$27-A22)</f>
        <v/>
      </c>
      <c r="D22" s="17">
        <f>IF(A22="","",(Calculator!$B$11+C22)*Calculator!$B$5)</f>
        <v/>
      </c>
      <c r="E22" s="12">
        <f>IF(A22="","",IF(Calculator!$B$17=1,ROUNDUP(D22*Calculator!$B$8/3600/Calculator!$B$24-0.000000001,0),D22*Calculator!$B$8/3600/Calculator!$B$24))</f>
        <v/>
      </c>
      <c r="F22" s="16">
        <f>IF(A22="","",IF(Calculator!$B$16=1,Calculator!$B$27,A22)*Calculator!$B$5*Calculator!$B$15)</f>
        <v/>
      </c>
      <c r="G22" s="16">
        <f>IF(A22="","",E22*Calculator!$B$6+Calculator!$C$37+F22+Calculator!$B$30)</f>
        <v/>
      </c>
      <c r="H22" s="16">
        <f>IF(A22="","",Calculator!$B$40-G22)</f>
        <v/>
      </c>
      <c r="I22" s="17">
        <f>IF(A22="","",A22*Calculator!$B$5*Calculator!$B$8/3600)</f>
        <v/>
      </c>
      <c r="J22" s="12">
        <f>IF(A22="","",Calculator!$B$35-E22)</f>
        <v/>
      </c>
    </row>
    <row r="23">
      <c r="A23" s="15">
        <f>IF(21/1000&lt;=Calculator!$B$27+0.0000001,21/1000,"")</f>
        <v/>
      </c>
      <c r="B23" s="15">
        <f>IF(A23="","",A23/Calculator!$B$27)</f>
        <v/>
      </c>
      <c r="C23" s="15">
        <f>IF(A23="","",Calculator!$B$27-A23)</f>
        <v/>
      </c>
      <c r="D23" s="17">
        <f>IF(A23="","",(Calculator!$B$11+C23)*Calculator!$B$5)</f>
        <v/>
      </c>
      <c r="E23" s="12">
        <f>IF(A23="","",IF(Calculator!$B$17=1,ROUNDUP(D23*Calculator!$B$8/3600/Calculator!$B$24-0.000000001,0),D23*Calculator!$B$8/3600/Calculator!$B$24))</f>
        <v/>
      </c>
      <c r="F23" s="16">
        <f>IF(A23="","",IF(Calculator!$B$16=1,Calculator!$B$27,A23)*Calculator!$B$5*Calculator!$B$15)</f>
        <v/>
      </c>
      <c r="G23" s="16">
        <f>IF(A23="","",E23*Calculator!$B$6+Calculator!$C$37+F23+Calculator!$B$30)</f>
        <v/>
      </c>
      <c r="H23" s="16">
        <f>IF(A23="","",Calculator!$B$40-G23)</f>
        <v/>
      </c>
      <c r="I23" s="17">
        <f>IF(A23="","",A23*Calculator!$B$5*Calculator!$B$8/3600)</f>
        <v/>
      </c>
      <c r="J23" s="12">
        <f>IF(A23="","",Calculator!$B$35-E23)</f>
        <v/>
      </c>
    </row>
    <row r="24">
      <c r="A24" s="15">
        <f>IF(22/1000&lt;=Calculator!$B$27+0.0000001,22/1000,"")</f>
        <v/>
      </c>
      <c r="B24" s="15">
        <f>IF(A24="","",A24/Calculator!$B$27)</f>
        <v/>
      </c>
      <c r="C24" s="15">
        <f>IF(A24="","",Calculator!$B$27-A24)</f>
        <v/>
      </c>
      <c r="D24" s="17">
        <f>IF(A24="","",(Calculator!$B$11+C24)*Calculator!$B$5)</f>
        <v/>
      </c>
      <c r="E24" s="12">
        <f>IF(A24="","",IF(Calculator!$B$17=1,ROUNDUP(D24*Calculator!$B$8/3600/Calculator!$B$24-0.000000001,0),D24*Calculator!$B$8/3600/Calculator!$B$24))</f>
        <v/>
      </c>
      <c r="F24" s="16">
        <f>IF(A24="","",IF(Calculator!$B$16=1,Calculator!$B$27,A24)*Calculator!$B$5*Calculator!$B$15)</f>
        <v/>
      </c>
      <c r="G24" s="16">
        <f>IF(A24="","",E24*Calculator!$B$6+Calculator!$C$37+F24+Calculator!$B$30)</f>
        <v/>
      </c>
      <c r="H24" s="16">
        <f>IF(A24="","",Calculator!$B$40-G24)</f>
        <v/>
      </c>
      <c r="I24" s="17">
        <f>IF(A24="","",A24*Calculator!$B$5*Calculator!$B$8/3600)</f>
        <v/>
      </c>
      <c r="J24" s="12">
        <f>IF(A24="","",Calculator!$B$35-E24)</f>
        <v/>
      </c>
    </row>
    <row r="25">
      <c r="A25" s="15">
        <f>IF(23/1000&lt;=Calculator!$B$27+0.0000001,23/1000,"")</f>
        <v/>
      </c>
      <c r="B25" s="15">
        <f>IF(A25="","",A25/Calculator!$B$27)</f>
        <v/>
      </c>
      <c r="C25" s="15">
        <f>IF(A25="","",Calculator!$B$27-A25)</f>
        <v/>
      </c>
      <c r="D25" s="17">
        <f>IF(A25="","",(Calculator!$B$11+C25)*Calculator!$B$5)</f>
        <v/>
      </c>
      <c r="E25" s="12">
        <f>IF(A25="","",IF(Calculator!$B$17=1,ROUNDUP(D25*Calculator!$B$8/3600/Calculator!$B$24-0.000000001,0),D25*Calculator!$B$8/3600/Calculator!$B$24))</f>
        <v/>
      </c>
      <c r="F25" s="16">
        <f>IF(A25="","",IF(Calculator!$B$16=1,Calculator!$B$27,A25)*Calculator!$B$5*Calculator!$B$15)</f>
        <v/>
      </c>
      <c r="G25" s="16">
        <f>IF(A25="","",E25*Calculator!$B$6+Calculator!$C$37+F25+Calculator!$B$30)</f>
        <v/>
      </c>
      <c r="H25" s="16">
        <f>IF(A25="","",Calculator!$B$40-G25)</f>
        <v/>
      </c>
      <c r="I25" s="17">
        <f>IF(A25="","",A25*Calculator!$B$5*Calculator!$B$8/3600)</f>
        <v/>
      </c>
      <c r="J25" s="12">
        <f>IF(A25="","",Calculator!$B$35-E25)</f>
        <v/>
      </c>
    </row>
    <row r="26">
      <c r="A26" s="15">
        <f>IF(24/1000&lt;=Calculator!$B$27+0.0000001,24/1000,"")</f>
        <v/>
      </c>
      <c r="B26" s="15">
        <f>IF(A26="","",A26/Calculator!$B$27)</f>
        <v/>
      </c>
      <c r="C26" s="15">
        <f>IF(A26="","",Calculator!$B$27-A26)</f>
        <v/>
      </c>
      <c r="D26" s="17">
        <f>IF(A26="","",(Calculator!$B$11+C26)*Calculator!$B$5)</f>
        <v/>
      </c>
      <c r="E26" s="12">
        <f>IF(A26="","",IF(Calculator!$B$17=1,ROUNDUP(D26*Calculator!$B$8/3600/Calculator!$B$24-0.000000001,0),D26*Calculator!$B$8/3600/Calculator!$B$24))</f>
        <v/>
      </c>
      <c r="F26" s="16">
        <f>IF(A26="","",IF(Calculator!$B$16=1,Calculator!$B$27,A26)*Calculator!$B$5*Calculator!$B$15)</f>
        <v/>
      </c>
      <c r="G26" s="16">
        <f>IF(A26="","",E26*Calculator!$B$6+Calculator!$C$37+F26+Calculator!$B$30)</f>
        <v/>
      </c>
      <c r="H26" s="16">
        <f>IF(A26="","",Calculator!$B$40-G26)</f>
        <v/>
      </c>
      <c r="I26" s="17">
        <f>IF(A26="","",A26*Calculator!$B$5*Calculator!$B$8/3600)</f>
        <v/>
      </c>
      <c r="J26" s="12">
        <f>IF(A26="","",Calculator!$B$35-E26)</f>
        <v/>
      </c>
    </row>
    <row r="27">
      <c r="A27" s="15">
        <f>IF(25/1000&lt;=Calculator!$B$27+0.0000001,25/1000,"")</f>
        <v/>
      </c>
      <c r="B27" s="15">
        <f>IF(A27="","",A27/Calculator!$B$27)</f>
        <v/>
      </c>
      <c r="C27" s="15">
        <f>IF(A27="","",Calculator!$B$27-A27)</f>
        <v/>
      </c>
      <c r="D27" s="17">
        <f>IF(A27="","",(Calculator!$B$11+C27)*Calculator!$B$5)</f>
        <v/>
      </c>
      <c r="E27" s="12">
        <f>IF(A27="","",IF(Calculator!$B$17=1,ROUNDUP(D27*Calculator!$B$8/3600/Calculator!$B$24-0.000000001,0),D27*Calculator!$B$8/3600/Calculator!$B$24))</f>
        <v/>
      </c>
      <c r="F27" s="16">
        <f>IF(A27="","",IF(Calculator!$B$16=1,Calculator!$B$27,A27)*Calculator!$B$5*Calculator!$B$15)</f>
        <v/>
      </c>
      <c r="G27" s="16">
        <f>IF(A27="","",E27*Calculator!$B$6+Calculator!$C$37+F27+Calculator!$B$30)</f>
        <v/>
      </c>
      <c r="H27" s="16">
        <f>IF(A27="","",Calculator!$B$40-G27)</f>
        <v/>
      </c>
      <c r="I27" s="17">
        <f>IF(A27="","",A27*Calculator!$B$5*Calculator!$B$8/3600)</f>
        <v/>
      </c>
      <c r="J27" s="12">
        <f>IF(A27="","",Calculator!$B$35-E27)</f>
        <v/>
      </c>
    </row>
    <row r="28">
      <c r="A28" s="15">
        <f>IF(26/1000&lt;=Calculator!$B$27+0.0000001,26/1000,"")</f>
        <v/>
      </c>
      <c r="B28" s="15">
        <f>IF(A28="","",A28/Calculator!$B$27)</f>
        <v/>
      </c>
      <c r="C28" s="15">
        <f>IF(A28="","",Calculator!$B$27-A28)</f>
        <v/>
      </c>
      <c r="D28" s="17">
        <f>IF(A28="","",(Calculator!$B$11+C28)*Calculator!$B$5)</f>
        <v/>
      </c>
      <c r="E28" s="12">
        <f>IF(A28="","",IF(Calculator!$B$17=1,ROUNDUP(D28*Calculator!$B$8/3600/Calculator!$B$24-0.000000001,0),D28*Calculator!$B$8/3600/Calculator!$B$24))</f>
        <v/>
      </c>
      <c r="F28" s="16">
        <f>IF(A28="","",IF(Calculator!$B$16=1,Calculator!$B$27,A28)*Calculator!$B$5*Calculator!$B$15)</f>
        <v/>
      </c>
      <c r="G28" s="16">
        <f>IF(A28="","",E28*Calculator!$B$6+Calculator!$C$37+F28+Calculator!$B$30)</f>
        <v/>
      </c>
      <c r="H28" s="16">
        <f>IF(A28="","",Calculator!$B$40-G28)</f>
        <v/>
      </c>
      <c r="I28" s="17">
        <f>IF(A28="","",A28*Calculator!$B$5*Calculator!$B$8/3600)</f>
        <v/>
      </c>
      <c r="J28" s="12">
        <f>IF(A28="","",Calculator!$B$35-E28)</f>
        <v/>
      </c>
    </row>
    <row r="29">
      <c r="A29" s="15">
        <f>IF(27/1000&lt;=Calculator!$B$27+0.0000001,27/1000,"")</f>
        <v/>
      </c>
      <c r="B29" s="15">
        <f>IF(A29="","",A29/Calculator!$B$27)</f>
        <v/>
      </c>
      <c r="C29" s="15">
        <f>IF(A29="","",Calculator!$B$27-A29)</f>
        <v/>
      </c>
      <c r="D29" s="17">
        <f>IF(A29="","",(Calculator!$B$11+C29)*Calculator!$B$5)</f>
        <v/>
      </c>
      <c r="E29" s="12">
        <f>IF(A29="","",IF(Calculator!$B$17=1,ROUNDUP(D29*Calculator!$B$8/3600/Calculator!$B$24-0.000000001,0),D29*Calculator!$B$8/3600/Calculator!$B$24))</f>
        <v/>
      </c>
      <c r="F29" s="16">
        <f>IF(A29="","",IF(Calculator!$B$16=1,Calculator!$B$27,A29)*Calculator!$B$5*Calculator!$B$15)</f>
        <v/>
      </c>
      <c r="G29" s="16">
        <f>IF(A29="","",E29*Calculator!$B$6+Calculator!$C$37+F29+Calculator!$B$30)</f>
        <v/>
      </c>
      <c r="H29" s="16">
        <f>IF(A29="","",Calculator!$B$40-G29)</f>
        <v/>
      </c>
      <c r="I29" s="17">
        <f>IF(A29="","",A29*Calculator!$B$5*Calculator!$B$8/3600)</f>
        <v/>
      </c>
      <c r="J29" s="12">
        <f>IF(A29="","",Calculator!$B$35-E29)</f>
        <v/>
      </c>
    </row>
    <row r="30">
      <c r="A30" s="15">
        <f>IF(28/1000&lt;=Calculator!$B$27+0.0000001,28/1000,"")</f>
        <v/>
      </c>
      <c r="B30" s="15">
        <f>IF(A30="","",A30/Calculator!$B$27)</f>
        <v/>
      </c>
      <c r="C30" s="15">
        <f>IF(A30="","",Calculator!$B$27-A30)</f>
        <v/>
      </c>
      <c r="D30" s="17">
        <f>IF(A30="","",(Calculator!$B$11+C30)*Calculator!$B$5)</f>
        <v/>
      </c>
      <c r="E30" s="12">
        <f>IF(A30="","",IF(Calculator!$B$17=1,ROUNDUP(D30*Calculator!$B$8/3600/Calculator!$B$24-0.000000001,0),D30*Calculator!$B$8/3600/Calculator!$B$24))</f>
        <v/>
      </c>
      <c r="F30" s="16">
        <f>IF(A30="","",IF(Calculator!$B$16=1,Calculator!$B$27,A30)*Calculator!$B$5*Calculator!$B$15)</f>
        <v/>
      </c>
      <c r="G30" s="16">
        <f>IF(A30="","",E30*Calculator!$B$6+Calculator!$C$37+F30+Calculator!$B$30)</f>
        <v/>
      </c>
      <c r="H30" s="16">
        <f>IF(A30="","",Calculator!$B$40-G30)</f>
        <v/>
      </c>
      <c r="I30" s="17">
        <f>IF(A30="","",A30*Calculator!$B$5*Calculator!$B$8/3600)</f>
        <v/>
      </c>
      <c r="J30" s="12">
        <f>IF(A30="","",Calculator!$B$35-E30)</f>
        <v/>
      </c>
    </row>
    <row r="31">
      <c r="A31" s="15">
        <f>IF(29/1000&lt;=Calculator!$B$27+0.0000001,29/1000,"")</f>
        <v/>
      </c>
      <c r="B31" s="15">
        <f>IF(A31="","",A31/Calculator!$B$27)</f>
        <v/>
      </c>
      <c r="C31" s="15">
        <f>IF(A31="","",Calculator!$B$27-A31)</f>
        <v/>
      </c>
      <c r="D31" s="17">
        <f>IF(A31="","",(Calculator!$B$11+C31)*Calculator!$B$5)</f>
        <v/>
      </c>
      <c r="E31" s="12">
        <f>IF(A31="","",IF(Calculator!$B$17=1,ROUNDUP(D31*Calculator!$B$8/3600/Calculator!$B$24-0.000000001,0),D31*Calculator!$B$8/3600/Calculator!$B$24))</f>
        <v/>
      </c>
      <c r="F31" s="16">
        <f>IF(A31="","",IF(Calculator!$B$16=1,Calculator!$B$27,A31)*Calculator!$B$5*Calculator!$B$15)</f>
        <v/>
      </c>
      <c r="G31" s="16">
        <f>IF(A31="","",E31*Calculator!$B$6+Calculator!$C$37+F31+Calculator!$B$30)</f>
        <v/>
      </c>
      <c r="H31" s="16">
        <f>IF(A31="","",Calculator!$B$40-G31)</f>
        <v/>
      </c>
      <c r="I31" s="17">
        <f>IF(A31="","",A31*Calculator!$B$5*Calculator!$B$8/3600)</f>
        <v/>
      </c>
      <c r="J31" s="12">
        <f>IF(A31="","",Calculator!$B$35-E31)</f>
        <v/>
      </c>
    </row>
    <row r="32">
      <c r="A32" s="15">
        <f>IF(30/1000&lt;=Calculator!$B$27+0.0000001,30/1000,"")</f>
        <v/>
      </c>
      <c r="B32" s="15">
        <f>IF(A32="","",A32/Calculator!$B$27)</f>
        <v/>
      </c>
      <c r="C32" s="15">
        <f>IF(A32="","",Calculator!$B$27-A32)</f>
        <v/>
      </c>
      <c r="D32" s="17">
        <f>IF(A32="","",(Calculator!$B$11+C32)*Calculator!$B$5)</f>
        <v/>
      </c>
      <c r="E32" s="12">
        <f>IF(A32="","",IF(Calculator!$B$17=1,ROUNDUP(D32*Calculator!$B$8/3600/Calculator!$B$24-0.000000001,0),D32*Calculator!$B$8/3600/Calculator!$B$24))</f>
        <v/>
      </c>
      <c r="F32" s="16">
        <f>IF(A32="","",IF(Calculator!$B$16=1,Calculator!$B$27,A32)*Calculator!$B$5*Calculator!$B$15)</f>
        <v/>
      </c>
      <c r="G32" s="16">
        <f>IF(A32="","",E32*Calculator!$B$6+Calculator!$C$37+F32+Calculator!$B$30)</f>
        <v/>
      </c>
      <c r="H32" s="16">
        <f>IF(A32="","",Calculator!$B$40-G32)</f>
        <v/>
      </c>
      <c r="I32" s="17">
        <f>IF(A32="","",A32*Calculator!$B$5*Calculator!$B$8/3600)</f>
        <v/>
      </c>
      <c r="J32" s="12">
        <f>IF(A32="","",Calculator!$B$35-E32)</f>
        <v/>
      </c>
    </row>
    <row r="33">
      <c r="A33" s="15">
        <f>IF(31/1000&lt;=Calculator!$B$27+0.0000001,31/1000,"")</f>
        <v/>
      </c>
      <c r="B33" s="15">
        <f>IF(A33="","",A33/Calculator!$B$27)</f>
        <v/>
      </c>
      <c r="C33" s="15">
        <f>IF(A33="","",Calculator!$B$27-A33)</f>
        <v/>
      </c>
      <c r="D33" s="17">
        <f>IF(A33="","",(Calculator!$B$11+C33)*Calculator!$B$5)</f>
        <v/>
      </c>
      <c r="E33" s="12">
        <f>IF(A33="","",IF(Calculator!$B$17=1,ROUNDUP(D33*Calculator!$B$8/3600/Calculator!$B$24-0.000000001,0),D33*Calculator!$B$8/3600/Calculator!$B$24))</f>
        <v/>
      </c>
      <c r="F33" s="16">
        <f>IF(A33="","",IF(Calculator!$B$16=1,Calculator!$B$27,A33)*Calculator!$B$5*Calculator!$B$15)</f>
        <v/>
      </c>
      <c r="G33" s="16">
        <f>IF(A33="","",E33*Calculator!$B$6+Calculator!$C$37+F33+Calculator!$B$30)</f>
        <v/>
      </c>
      <c r="H33" s="16">
        <f>IF(A33="","",Calculator!$B$40-G33)</f>
        <v/>
      </c>
      <c r="I33" s="17">
        <f>IF(A33="","",A33*Calculator!$B$5*Calculator!$B$8/3600)</f>
        <v/>
      </c>
      <c r="J33" s="12">
        <f>IF(A33="","",Calculator!$B$35-E33)</f>
        <v/>
      </c>
    </row>
    <row r="34">
      <c r="A34" s="15">
        <f>IF(32/1000&lt;=Calculator!$B$27+0.0000001,32/1000,"")</f>
        <v/>
      </c>
      <c r="B34" s="15">
        <f>IF(A34="","",A34/Calculator!$B$27)</f>
        <v/>
      </c>
      <c r="C34" s="15">
        <f>IF(A34="","",Calculator!$B$27-A34)</f>
        <v/>
      </c>
      <c r="D34" s="17">
        <f>IF(A34="","",(Calculator!$B$11+C34)*Calculator!$B$5)</f>
        <v/>
      </c>
      <c r="E34" s="12">
        <f>IF(A34="","",IF(Calculator!$B$17=1,ROUNDUP(D34*Calculator!$B$8/3600/Calculator!$B$24-0.000000001,0),D34*Calculator!$B$8/3600/Calculator!$B$24))</f>
        <v/>
      </c>
      <c r="F34" s="16">
        <f>IF(A34="","",IF(Calculator!$B$16=1,Calculator!$B$27,A34)*Calculator!$B$5*Calculator!$B$15)</f>
        <v/>
      </c>
      <c r="G34" s="16">
        <f>IF(A34="","",E34*Calculator!$B$6+Calculator!$C$37+F34+Calculator!$B$30)</f>
        <v/>
      </c>
      <c r="H34" s="16">
        <f>IF(A34="","",Calculator!$B$40-G34)</f>
        <v/>
      </c>
      <c r="I34" s="17">
        <f>IF(A34="","",A34*Calculator!$B$5*Calculator!$B$8/3600)</f>
        <v/>
      </c>
      <c r="J34" s="12">
        <f>IF(A34="","",Calculator!$B$35-E34)</f>
        <v/>
      </c>
    </row>
    <row r="35">
      <c r="A35" s="15">
        <f>IF(33/1000&lt;=Calculator!$B$27+0.0000001,33/1000,"")</f>
        <v/>
      </c>
      <c r="B35" s="15">
        <f>IF(A35="","",A35/Calculator!$B$27)</f>
        <v/>
      </c>
      <c r="C35" s="15">
        <f>IF(A35="","",Calculator!$B$27-A35)</f>
        <v/>
      </c>
      <c r="D35" s="17">
        <f>IF(A35="","",(Calculator!$B$11+C35)*Calculator!$B$5)</f>
        <v/>
      </c>
      <c r="E35" s="12">
        <f>IF(A35="","",IF(Calculator!$B$17=1,ROUNDUP(D35*Calculator!$B$8/3600/Calculator!$B$24-0.000000001,0),D35*Calculator!$B$8/3600/Calculator!$B$24))</f>
        <v/>
      </c>
      <c r="F35" s="16">
        <f>IF(A35="","",IF(Calculator!$B$16=1,Calculator!$B$27,A35)*Calculator!$B$5*Calculator!$B$15)</f>
        <v/>
      </c>
      <c r="G35" s="16">
        <f>IF(A35="","",E35*Calculator!$B$6+Calculator!$C$37+F35+Calculator!$B$30)</f>
        <v/>
      </c>
      <c r="H35" s="16">
        <f>IF(A35="","",Calculator!$B$40-G35)</f>
        <v/>
      </c>
      <c r="I35" s="17">
        <f>IF(A35="","",A35*Calculator!$B$5*Calculator!$B$8/3600)</f>
        <v/>
      </c>
      <c r="J35" s="12">
        <f>IF(A35="","",Calculator!$B$35-E35)</f>
        <v/>
      </c>
    </row>
    <row r="36">
      <c r="A36" s="15">
        <f>IF(34/1000&lt;=Calculator!$B$27+0.0000001,34/1000,"")</f>
        <v/>
      </c>
      <c r="B36" s="15">
        <f>IF(A36="","",A36/Calculator!$B$27)</f>
        <v/>
      </c>
      <c r="C36" s="15">
        <f>IF(A36="","",Calculator!$B$27-A36)</f>
        <v/>
      </c>
      <c r="D36" s="17">
        <f>IF(A36="","",(Calculator!$B$11+C36)*Calculator!$B$5)</f>
        <v/>
      </c>
      <c r="E36" s="12">
        <f>IF(A36="","",IF(Calculator!$B$17=1,ROUNDUP(D36*Calculator!$B$8/3600/Calculator!$B$24-0.000000001,0),D36*Calculator!$B$8/3600/Calculator!$B$24))</f>
        <v/>
      </c>
      <c r="F36" s="16">
        <f>IF(A36="","",IF(Calculator!$B$16=1,Calculator!$B$27,A36)*Calculator!$B$5*Calculator!$B$15)</f>
        <v/>
      </c>
      <c r="G36" s="16">
        <f>IF(A36="","",E36*Calculator!$B$6+Calculator!$C$37+F36+Calculator!$B$30)</f>
        <v/>
      </c>
      <c r="H36" s="16">
        <f>IF(A36="","",Calculator!$B$40-G36)</f>
        <v/>
      </c>
      <c r="I36" s="17">
        <f>IF(A36="","",A36*Calculator!$B$5*Calculator!$B$8/3600)</f>
        <v/>
      </c>
      <c r="J36" s="12">
        <f>IF(A36="","",Calculator!$B$35-E36)</f>
        <v/>
      </c>
    </row>
    <row r="37">
      <c r="A37" s="15">
        <f>IF(35/1000&lt;=Calculator!$B$27+0.0000001,35/1000,"")</f>
        <v/>
      </c>
      <c r="B37" s="15">
        <f>IF(A37="","",A37/Calculator!$B$27)</f>
        <v/>
      </c>
      <c r="C37" s="15">
        <f>IF(A37="","",Calculator!$B$27-A37)</f>
        <v/>
      </c>
      <c r="D37" s="17">
        <f>IF(A37="","",(Calculator!$B$11+C37)*Calculator!$B$5)</f>
        <v/>
      </c>
      <c r="E37" s="12">
        <f>IF(A37="","",IF(Calculator!$B$17=1,ROUNDUP(D37*Calculator!$B$8/3600/Calculator!$B$24-0.000000001,0),D37*Calculator!$B$8/3600/Calculator!$B$24))</f>
        <v/>
      </c>
      <c r="F37" s="16">
        <f>IF(A37="","",IF(Calculator!$B$16=1,Calculator!$B$27,A37)*Calculator!$B$5*Calculator!$B$15)</f>
        <v/>
      </c>
      <c r="G37" s="16">
        <f>IF(A37="","",E37*Calculator!$B$6+Calculator!$C$37+F37+Calculator!$B$30)</f>
        <v/>
      </c>
      <c r="H37" s="16">
        <f>IF(A37="","",Calculator!$B$40-G37)</f>
        <v/>
      </c>
      <c r="I37" s="17">
        <f>IF(A37="","",A37*Calculator!$B$5*Calculator!$B$8/3600)</f>
        <v/>
      </c>
      <c r="J37" s="12">
        <f>IF(A37="","",Calculator!$B$35-E37)</f>
        <v/>
      </c>
    </row>
    <row r="38">
      <c r="A38" s="15">
        <f>IF(36/1000&lt;=Calculator!$B$27+0.0000001,36/1000,"")</f>
        <v/>
      </c>
      <c r="B38" s="15">
        <f>IF(A38="","",A38/Calculator!$B$27)</f>
        <v/>
      </c>
      <c r="C38" s="15">
        <f>IF(A38="","",Calculator!$B$27-A38)</f>
        <v/>
      </c>
      <c r="D38" s="17">
        <f>IF(A38="","",(Calculator!$B$11+C38)*Calculator!$B$5)</f>
        <v/>
      </c>
      <c r="E38" s="12">
        <f>IF(A38="","",IF(Calculator!$B$17=1,ROUNDUP(D38*Calculator!$B$8/3600/Calculator!$B$24-0.000000001,0),D38*Calculator!$B$8/3600/Calculator!$B$24))</f>
        <v/>
      </c>
      <c r="F38" s="16">
        <f>IF(A38="","",IF(Calculator!$B$16=1,Calculator!$B$27,A38)*Calculator!$B$5*Calculator!$B$15)</f>
        <v/>
      </c>
      <c r="G38" s="16">
        <f>IF(A38="","",E38*Calculator!$B$6+Calculator!$C$37+F38+Calculator!$B$30)</f>
        <v/>
      </c>
      <c r="H38" s="16">
        <f>IF(A38="","",Calculator!$B$40-G38)</f>
        <v/>
      </c>
      <c r="I38" s="17">
        <f>IF(A38="","",A38*Calculator!$B$5*Calculator!$B$8/3600)</f>
        <v/>
      </c>
      <c r="J38" s="12">
        <f>IF(A38="","",Calculator!$B$35-E38)</f>
        <v/>
      </c>
    </row>
    <row r="39">
      <c r="A39" s="15">
        <f>IF(37/1000&lt;=Calculator!$B$27+0.0000001,37/1000,"")</f>
        <v/>
      </c>
      <c r="B39" s="15">
        <f>IF(A39="","",A39/Calculator!$B$27)</f>
        <v/>
      </c>
      <c r="C39" s="15">
        <f>IF(A39="","",Calculator!$B$27-A39)</f>
        <v/>
      </c>
      <c r="D39" s="17">
        <f>IF(A39="","",(Calculator!$B$11+C39)*Calculator!$B$5)</f>
        <v/>
      </c>
      <c r="E39" s="12">
        <f>IF(A39="","",IF(Calculator!$B$17=1,ROUNDUP(D39*Calculator!$B$8/3600/Calculator!$B$24-0.000000001,0),D39*Calculator!$B$8/3600/Calculator!$B$24))</f>
        <v/>
      </c>
      <c r="F39" s="16">
        <f>IF(A39="","",IF(Calculator!$B$16=1,Calculator!$B$27,A39)*Calculator!$B$5*Calculator!$B$15)</f>
        <v/>
      </c>
      <c r="G39" s="16">
        <f>IF(A39="","",E39*Calculator!$B$6+Calculator!$C$37+F39+Calculator!$B$30)</f>
        <v/>
      </c>
      <c r="H39" s="16">
        <f>IF(A39="","",Calculator!$B$40-G39)</f>
        <v/>
      </c>
      <c r="I39" s="17">
        <f>IF(A39="","",A39*Calculator!$B$5*Calculator!$B$8/3600)</f>
        <v/>
      </c>
      <c r="J39" s="12">
        <f>IF(A39="","",Calculator!$B$35-E39)</f>
        <v/>
      </c>
    </row>
    <row r="40">
      <c r="A40" s="15">
        <f>IF(38/1000&lt;=Calculator!$B$27+0.0000001,38/1000,"")</f>
        <v/>
      </c>
      <c r="B40" s="15">
        <f>IF(A40="","",A40/Calculator!$B$27)</f>
        <v/>
      </c>
      <c r="C40" s="15">
        <f>IF(A40="","",Calculator!$B$27-A40)</f>
        <v/>
      </c>
      <c r="D40" s="17">
        <f>IF(A40="","",(Calculator!$B$11+C40)*Calculator!$B$5)</f>
        <v/>
      </c>
      <c r="E40" s="12">
        <f>IF(A40="","",IF(Calculator!$B$17=1,ROUNDUP(D40*Calculator!$B$8/3600/Calculator!$B$24-0.000000001,0),D40*Calculator!$B$8/3600/Calculator!$B$24))</f>
        <v/>
      </c>
      <c r="F40" s="16">
        <f>IF(A40="","",IF(Calculator!$B$16=1,Calculator!$B$27,A40)*Calculator!$B$5*Calculator!$B$15)</f>
        <v/>
      </c>
      <c r="G40" s="16">
        <f>IF(A40="","",E40*Calculator!$B$6+Calculator!$C$37+F40+Calculator!$B$30)</f>
        <v/>
      </c>
      <c r="H40" s="16">
        <f>IF(A40="","",Calculator!$B$40-G40)</f>
        <v/>
      </c>
      <c r="I40" s="17">
        <f>IF(A40="","",A40*Calculator!$B$5*Calculator!$B$8/3600)</f>
        <v/>
      </c>
      <c r="J40" s="12">
        <f>IF(A40="","",Calculator!$B$35-E40)</f>
        <v/>
      </c>
    </row>
    <row r="41">
      <c r="A41" s="15">
        <f>IF(39/1000&lt;=Calculator!$B$27+0.0000001,39/1000,"")</f>
        <v/>
      </c>
      <c r="B41" s="15">
        <f>IF(A41="","",A41/Calculator!$B$27)</f>
        <v/>
      </c>
      <c r="C41" s="15">
        <f>IF(A41="","",Calculator!$B$27-A41)</f>
        <v/>
      </c>
      <c r="D41" s="17">
        <f>IF(A41="","",(Calculator!$B$11+C41)*Calculator!$B$5)</f>
        <v/>
      </c>
      <c r="E41" s="12">
        <f>IF(A41="","",IF(Calculator!$B$17=1,ROUNDUP(D41*Calculator!$B$8/3600/Calculator!$B$24-0.000000001,0),D41*Calculator!$B$8/3600/Calculator!$B$24))</f>
        <v/>
      </c>
      <c r="F41" s="16">
        <f>IF(A41="","",IF(Calculator!$B$16=1,Calculator!$B$27,A41)*Calculator!$B$5*Calculator!$B$15)</f>
        <v/>
      </c>
      <c r="G41" s="16">
        <f>IF(A41="","",E41*Calculator!$B$6+Calculator!$C$37+F41+Calculator!$B$30)</f>
        <v/>
      </c>
      <c r="H41" s="16">
        <f>IF(A41="","",Calculator!$B$40-G41)</f>
        <v/>
      </c>
      <c r="I41" s="17">
        <f>IF(A41="","",A41*Calculator!$B$5*Calculator!$B$8/3600)</f>
        <v/>
      </c>
      <c r="J41" s="12">
        <f>IF(A41="","",Calculator!$B$35-E41)</f>
        <v/>
      </c>
    </row>
    <row r="42">
      <c r="A42" s="15">
        <f>IF(40/1000&lt;=Calculator!$B$27+0.0000001,40/1000,"")</f>
        <v/>
      </c>
      <c r="B42" s="15">
        <f>IF(A42="","",A42/Calculator!$B$27)</f>
        <v/>
      </c>
      <c r="C42" s="15">
        <f>IF(A42="","",Calculator!$B$27-A42)</f>
        <v/>
      </c>
      <c r="D42" s="17">
        <f>IF(A42="","",(Calculator!$B$11+C42)*Calculator!$B$5)</f>
        <v/>
      </c>
      <c r="E42" s="12">
        <f>IF(A42="","",IF(Calculator!$B$17=1,ROUNDUP(D42*Calculator!$B$8/3600/Calculator!$B$24-0.000000001,0),D42*Calculator!$B$8/3600/Calculator!$B$24))</f>
        <v/>
      </c>
      <c r="F42" s="16">
        <f>IF(A42="","",IF(Calculator!$B$16=1,Calculator!$B$27,A42)*Calculator!$B$5*Calculator!$B$15)</f>
        <v/>
      </c>
      <c r="G42" s="16">
        <f>IF(A42="","",E42*Calculator!$B$6+Calculator!$C$37+F42+Calculator!$B$30)</f>
        <v/>
      </c>
      <c r="H42" s="16">
        <f>IF(A42="","",Calculator!$B$40-G42)</f>
        <v/>
      </c>
      <c r="I42" s="17">
        <f>IF(A42="","",A42*Calculator!$B$5*Calculator!$B$8/3600)</f>
        <v/>
      </c>
      <c r="J42" s="12">
        <f>IF(A42="","",Calculator!$B$35-E42)</f>
        <v/>
      </c>
    </row>
    <row r="43">
      <c r="A43" s="15">
        <f>IF(41/1000&lt;=Calculator!$B$27+0.0000001,41/1000,"")</f>
        <v/>
      </c>
      <c r="B43" s="15">
        <f>IF(A43="","",A43/Calculator!$B$27)</f>
        <v/>
      </c>
      <c r="C43" s="15">
        <f>IF(A43="","",Calculator!$B$27-A43)</f>
        <v/>
      </c>
      <c r="D43" s="17">
        <f>IF(A43="","",(Calculator!$B$11+C43)*Calculator!$B$5)</f>
        <v/>
      </c>
      <c r="E43" s="12">
        <f>IF(A43="","",IF(Calculator!$B$17=1,ROUNDUP(D43*Calculator!$B$8/3600/Calculator!$B$24-0.000000001,0),D43*Calculator!$B$8/3600/Calculator!$B$24))</f>
        <v/>
      </c>
      <c r="F43" s="16">
        <f>IF(A43="","",IF(Calculator!$B$16=1,Calculator!$B$27,A43)*Calculator!$B$5*Calculator!$B$15)</f>
        <v/>
      </c>
      <c r="G43" s="16">
        <f>IF(A43="","",E43*Calculator!$B$6+Calculator!$C$37+F43+Calculator!$B$30)</f>
        <v/>
      </c>
      <c r="H43" s="16">
        <f>IF(A43="","",Calculator!$B$40-G43)</f>
        <v/>
      </c>
      <c r="I43" s="17">
        <f>IF(A43="","",A43*Calculator!$B$5*Calculator!$B$8/3600)</f>
        <v/>
      </c>
      <c r="J43" s="12">
        <f>IF(A43="","",Calculator!$B$35-E43)</f>
        <v/>
      </c>
    </row>
    <row r="44">
      <c r="A44" s="15">
        <f>IF(42/1000&lt;=Calculator!$B$27+0.0000001,42/1000,"")</f>
        <v/>
      </c>
      <c r="B44" s="15">
        <f>IF(A44="","",A44/Calculator!$B$27)</f>
        <v/>
      </c>
      <c r="C44" s="15">
        <f>IF(A44="","",Calculator!$B$27-A44)</f>
        <v/>
      </c>
      <c r="D44" s="17">
        <f>IF(A44="","",(Calculator!$B$11+C44)*Calculator!$B$5)</f>
        <v/>
      </c>
      <c r="E44" s="12">
        <f>IF(A44="","",IF(Calculator!$B$17=1,ROUNDUP(D44*Calculator!$B$8/3600/Calculator!$B$24-0.000000001,0),D44*Calculator!$B$8/3600/Calculator!$B$24))</f>
        <v/>
      </c>
      <c r="F44" s="16">
        <f>IF(A44="","",IF(Calculator!$B$16=1,Calculator!$B$27,A44)*Calculator!$B$5*Calculator!$B$15)</f>
        <v/>
      </c>
      <c r="G44" s="16">
        <f>IF(A44="","",E44*Calculator!$B$6+Calculator!$C$37+F44+Calculator!$B$30)</f>
        <v/>
      </c>
      <c r="H44" s="16">
        <f>IF(A44="","",Calculator!$B$40-G44)</f>
        <v/>
      </c>
      <c r="I44" s="17">
        <f>IF(A44="","",A44*Calculator!$B$5*Calculator!$B$8/3600)</f>
        <v/>
      </c>
      <c r="J44" s="12">
        <f>IF(A44="","",Calculator!$B$35-E44)</f>
        <v/>
      </c>
    </row>
    <row r="45">
      <c r="A45" s="15">
        <f>IF(43/1000&lt;=Calculator!$B$27+0.0000001,43/1000,"")</f>
        <v/>
      </c>
      <c r="B45" s="15">
        <f>IF(A45="","",A45/Calculator!$B$27)</f>
        <v/>
      </c>
      <c r="C45" s="15">
        <f>IF(A45="","",Calculator!$B$27-A45)</f>
        <v/>
      </c>
      <c r="D45" s="17">
        <f>IF(A45="","",(Calculator!$B$11+C45)*Calculator!$B$5)</f>
        <v/>
      </c>
      <c r="E45" s="12">
        <f>IF(A45="","",IF(Calculator!$B$17=1,ROUNDUP(D45*Calculator!$B$8/3600/Calculator!$B$24-0.000000001,0),D45*Calculator!$B$8/3600/Calculator!$B$24))</f>
        <v/>
      </c>
      <c r="F45" s="16">
        <f>IF(A45="","",IF(Calculator!$B$16=1,Calculator!$B$27,A45)*Calculator!$B$5*Calculator!$B$15)</f>
        <v/>
      </c>
      <c r="G45" s="16">
        <f>IF(A45="","",E45*Calculator!$B$6+Calculator!$C$37+F45+Calculator!$B$30)</f>
        <v/>
      </c>
      <c r="H45" s="16">
        <f>IF(A45="","",Calculator!$B$40-G45)</f>
        <v/>
      </c>
      <c r="I45" s="17">
        <f>IF(A45="","",A45*Calculator!$B$5*Calculator!$B$8/3600)</f>
        <v/>
      </c>
      <c r="J45" s="12">
        <f>IF(A45="","",Calculator!$B$35-E45)</f>
        <v/>
      </c>
    </row>
    <row r="46">
      <c r="A46" s="15">
        <f>IF(44/1000&lt;=Calculator!$B$27+0.0000001,44/1000,"")</f>
        <v/>
      </c>
      <c r="B46" s="15">
        <f>IF(A46="","",A46/Calculator!$B$27)</f>
        <v/>
      </c>
      <c r="C46" s="15">
        <f>IF(A46="","",Calculator!$B$27-A46)</f>
        <v/>
      </c>
      <c r="D46" s="17">
        <f>IF(A46="","",(Calculator!$B$11+C46)*Calculator!$B$5)</f>
        <v/>
      </c>
      <c r="E46" s="12">
        <f>IF(A46="","",IF(Calculator!$B$17=1,ROUNDUP(D46*Calculator!$B$8/3600/Calculator!$B$24-0.000000001,0),D46*Calculator!$B$8/3600/Calculator!$B$24))</f>
        <v/>
      </c>
      <c r="F46" s="16">
        <f>IF(A46="","",IF(Calculator!$B$16=1,Calculator!$B$27,A46)*Calculator!$B$5*Calculator!$B$15)</f>
        <v/>
      </c>
      <c r="G46" s="16">
        <f>IF(A46="","",E46*Calculator!$B$6+Calculator!$C$37+F46+Calculator!$B$30)</f>
        <v/>
      </c>
      <c r="H46" s="16">
        <f>IF(A46="","",Calculator!$B$40-G46)</f>
        <v/>
      </c>
      <c r="I46" s="17">
        <f>IF(A46="","",A46*Calculator!$B$5*Calculator!$B$8/3600)</f>
        <v/>
      </c>
      <c r="J46" s="12">
        <f>IF(A46="","",Calculator!$B$35-E46)</f>
        <v/>
      </c>
    </row>
    <row r="47">
      <c r="A47" s="15">
        <f>IF(45/1000&lt;=Calculator!$B$27+0.0000001,45/1000,"")</f>
        <v/>
      </c>
      <c r="B47" s="15">
        <f>IF(A47="","",A47/Calculator!$B$27)</f>
        <v/>
      </c>
      <c r="C47" s="15">
        <f>IF(A47="","",Calculator!$B$27-A47)</f>
        <v/>
      </c>
      <c r="D47" s="17">
        <f>IF(A47="","",(Calculator!$B$11+C47)*Calculator!$B$5)</f>
        <v/>
      </c>
      <c r="E47" s="12">
        <f>IF(A47="","",IF(Calculator!$B$17=1,ROUNDUP(D47*Calculator!$B$8/3600/Calculator!$B$24-0.000000001,0),D47*Calculator!$B$8/3600/Calculator!$B$24))</f>
        <v/>
      </c>
      <c r="F47" s="16">
        <f>IF(A47="","",IF(Calculator!$B$16=1,Calculator!$B$27,A47)*Calculator!$B$5*Calculator!$B$15)</f>
        <v/>
      </c>
      <c r="G47" s="16">
        <f>IF(A47="","",E47*Calculator!$B$6+Calculator!$C$37+F47+Calculator!$B$30)</f>
        <v/>
      </c>
      <c r="H47" s="16">
        <f>IF(A47="","",Calculator!$B$40-G47)</f>
        <v/>
      </c>
      <c r="I47" s="17">
        <f>IF(A47="","",A47*Calculator!$B$5*Calculator!$B$8/3600)</f>
        <v/>
      </c>
      <c r="J47" s="12">
        <f>IF(A47="","",Calculator!$B$35-E47)</f>
        <v/>
      </c>
    </row>
    <row r="48">
      <c r="A48" s="15">
        <f>IF(46/1000&lt;=Calculator!$B$27+0.0000001,46/1000,"")</f>
        <v/>
      </c>
      <c r="B48" s="15">
        <f>IF(A48="","",A48/Calculator!$B$27)</f>
        <v/>
      </c>
      <c r="C48" s="15">
        <f>IF(A48="","",Calculator!$B$27-A48)</f>
        <v/>
      </c>
      <c r="D48" s="17">
        <f>IF(A48="","",(Calculator!$B$11+C48)*Calculator!$B$5)</f>
        <v/>
      </c>
      <c r="E48" s="12">
        <f>IF(A48="","",IF(Calculator!$B$17=1,ROUNDUP(D48*Calculator!$B$8/3600/Calculator!$B$24-0.000000001,0),D48*Calculator!$B$8/3600/Calculator!$B$24))</f>
        <v/>
      </c>
      <c r="F48" s="16">
        <f>IF(A48="","",IF(Calculator!$B$16=1,Calculator!$B$27,A48)*Calculator!$B$5*Calculator!$B$15)</f>
        <v/>
      </c>
      <c r="G48" s="16">
        <f>IF(A48="","",E48*Calculator!$B$6+Calculator!$C$37+F48+Calculator!$B$30)</f>
        <v/>
      </c>
      <c r="H48" s="16">
        <f>IF(A48="","",Calculator!$B$40-G48)</f>
        <v/>
      </c>
      <c r="I48" s="17">
        <f>IF(A48="","",A48*Calculator!$B$5*Calculator!$B$8/3600)</f>
        <v/>
      </c>
      <c r="J48" s="12">
        <f>IF(A48="","",Calculator!$B$35-E48)</f>
        <v/>
      </c>
    </row>
    <row r="49">
      <c r="A49" s="15">
        <f>IF(47/1000&lt;=Calculator!$B$27+0.0000001,47/1000,"")</f>
        <v/>
      </c>
      <c r="B49" s="15">
        <f>IF(A49="","",A49/Calculator!$B$27)</f>
        <v/>
      </c>
      <c r="C49" s="15">
        <f>IF(A49="","",Calculator!$B$27-A49)</f>
        <v/>
      </c>
      <c r="D49" s="17">
        <f>IF(A49="","",(Calculator!$B$11+C49)*Calculator!$B$5)</f>
        <v/>
      </c>
      <c r="E49" s="12">
        <f>IF(A49="","",IF(Calculator!$B$17=1,ROUNDUP(D49*Calculator!$B$8/3600/Calculator!$B$24-0.000000001,0),D49*Calculator!$B$8/3600/Calculator!$B$24))</f>
        <v/>
      </c>
      <c r="F49" s="16">
        <f>IF(A49="","",IF(Calculator!$B$16=1,Calculator!$B$27,A49)*Calculator!$B$5*Calculator!$B$15)</f>
        <v/>
      </c>
      <c r="G49" s="16">
        <f>IF(A49="","",E49*Calculator!$B$6+Calculator!$C$37+F49+Calculator!$B$30)</f>
        <v/>
      </c>
      <c r="H49" s="16">
        <f>IF(A49="","",Calculator!$B$40-G49)</f>
        <v/>
      </c>
      <c r="I49" s="17">
        <f>IF(A49="","",A49*Calculator!$B$5*Calculator!$B$8/3600)</f>
        <v/>
      </c>
      <c r="J49" s="12">
        <f>IF(A49="","",Calculator!$B$35-E49)</f>
        <v/>
      </c>
    </row>
    <row r="50">
      <c r="A50" s="15">
        <f>IF(48/1000&lt;=Calculator!$B$27+0.0000001,48/1000,"")</f>
        <v/>
      </c>
      <c r="B50" s="15">
        <f>IF(A50="","",A50/Calculator!$B$27)</f>
        <v/>
      </c>
      <c r="C50" s="15">
        <f>IF(A50="","",Calculator!$B$27-A50)</f>
        <v/>
      </c>
      <c r="D50" s="17">
        <f>IF(A50="","",(Calculator!$B$11+C50)*Calculator!$B$5)</f>
        <v/>
      </c>
      <c r="E50" s="12">
        <f>IF(A50="","",IF(Calculator!$B$17=1,ROUNDUP(D50*Calculator!$B$8/3600/Calculator!$B$24-0.000000001,0),D50*Calculator!$B$8/3600/Calculator!$B$24))</f>
        <v/>
      </c>
      <c r="F50" s="16">
        <f>IF(A50="","",IF(Calculator!$B$16=1,Calculator!$B$27,A50)*Calculator!$B$5*Calculator!$B$15)</f>
        <v/>
      </c>
      <c r="G50" s="16">
        <f>IF(A50="","",E50*Calculator!$B$6+Calculator!$C$37+F50+Calculator!$B$30)</f>
        <v/>
      </c>
      <c r="H50" s="16">
        <f>IF(A50="","",Calculator!$B$40-G50)</f>
        <v/>
      </c>
      <c r="I50" s="17">
        <f>IF(A50="","",A50*Calculator!$B$5*Calculator!$B$8/3600)</f>
        <v/>
      </c>
      <c r="J50" s="12">
        <f>IF(A50="","",Calculator!$B$35-E50)</f>
        <v/>
      </c>
    </row>
    <row r="51">
      <c r="A51" s="15">
        <f>IF(49/1000&lt;=Calculator!$B$27+0.0000001,49/1000,"")</f>
        <v/>
      </c>
      <c r="B51" s="15">
        <f>IF(A51="","",A51/Calculator!$B$27)</f>
        <v/>
      </c>
      <c r="C51" s="15">
        <f>IF(A51="","",Calculator!$B$27-A51)</f>
        <v/>
      </c>
      <c r="D51" s="17">
        <f>IF(A51="","",(Calculator!$B$11+C51)*Calculator!$B$5)</f>
        <v/>
      </c>
      <c r="E51" s="12">
        <f>IF(A51="","",IF(Calculator!$B$17=1,ROUNDUP(D51*Calculator!$B$8/3600/Calculator!$B$24-0.000000001,0),D51*Calculator!$B$8/3600/Calculator!$B$24))</f>
        <v/>
      </c>
      <c r="F51" s="16">
        <f>IF(A51="","",IF(Calculator!$B$16=1,Calculator!$B$27,A51)*Calculator!$B$5*Calculator!$B$15)</f>
        <v/>
      </c>
      <c r="G51" s="16">
        <f>IF(A51="","",E51*Calculator!$B$6+Calculator!$C$37+F51+Calculator!$B$30)</f>
        <v/>
      </c>
      <c r="H51" s="16">
        <f>IF(A51="","",Calculator!$B$40-G51)</f>
        <v/>
      </c>
      <c r="I51" s="17">
        <f>IF(A51="","",A51*Calculator!$B$5*Calculator!$B$8/3600)</f>
        <v/>
      </c>
      <c r="J51" s="12">
        <f>IF(A51="","",Calculator!$B$35-E51)</f>
        <v/>
      </c>
    </row>
    <row r="52">
      <c r="A52" s="15">
        <f>IF(50/1000&lt;=Calculator!$B$27+0.0000001,50/1000,"")</f>
        <v/>
      </c>
      <c r="B52" s="15">
        <f>IF(A52="","",A52/Calculator!$B$27)</f>
        <v/>
      </c>
      <c r="C52" s="15">
        <f>IF(A52="","",Calculator!$B$27-A52)</f>
        <v/>
      </c>
      <c r="D52" s="17">
        <f>IF(A52="","",(Calculator!$B$11+C52)*Calculator!$B$5)</f>
        <v/>
      </c>
      <c r="E52" s="12">
        <f>IF(A52="","",IF(Calculator!$B$17=1,ROUNDUP(D52*Calculator!$B$8/3600/Calculator!$B$24-0.000000001,0),D52*Calculator!$B$8/3600/Calculator!$B$24))</f>
        <v/>
      </c>
      <c r="F52" s="16">
        <f>IF(A52="","",IF(Calculator!$B$16=1,Calculator!$B$27,A52)*Calculator!$B$5*Calculator!$B$15)</f>
        <v/>
      </c>
      <c r="G52" s="16">
        <f>IF(A52="","",E52*Calculator!$B$6+Calculator!$C$37+F52+Calculator!$B$30)</f>
        <v/>
      </c>
      <c r="H52" s="16">
        <f>IF(A52="","",Calculator!$B$40-G52)</f>
        <v/>
      </c>
      <c r="I52" s="17">
        <f>IF(A52="","",A52*Calculator!$B$5*Calculator!$B$8/3600)</f>
        <v/>
      </c>
      <c r="J52" s="12">
        <f>IF(A52="","",Calculator!$B$35-E52)</f>
        <v/>
      </c>
    </row>
    <row r="53">
      <c r="A53" s="15">
        <f>IF(51/1000&lt;=Calculator!$B$27+0.0000001,51/1000,"")</f>
        <v/>
      </c>
      <c r="B53" s="15">
        <f>IF(A53="","",A53/Calculator!$B$27)</f>
        <v/>
      </c>
      <c r="C53" s="15">
        <f>IF(A53="","",Calculator!$B$27-A53)</f>
        <v/>
      </c>
      <c r="D53" s="17">
        <f>IF(A53="","",(Calculator!$B$11+C53)*Calculator!$B$5)</f>
        <v/>
      </c>
      <c r="E53" s="12">
        <f>IF(A53="","",IF(Calculator!$B$17=1,ROUNDUP(D53*Calculator!$B$8/3600/Calculator!$B$24-0.000000001,0),D53*Calculator!$B$8/3600/Calculator!$B$24))</f>
        <v/>
      </c>
      <c r="F53" s="16">
        <f>IF(A53="","",IF(Calculator!$B$16=1,Calculator!$B$27,A53)*Calculator!$B$5*Calculator!$B$15)</f>
        <v/>
      </c>
      <c r="G53" s="16">
        <f>IF(A53="","",E53*Calculator!$B$6+Calculator!$C$37+F53+Calculator!$B$30)</f>
        <v/>
      </c>
      <c r="H53" s="16">
        <f>IF(A53="","",Calculator!$B$40-G53)</f>
        <v/>
      </c>
      <c r="I53" s="17">
        <f>IF(A53="","",A53*Calculator!$B$5*Calculator!$B$8/3600)</f>
        <v/>
      </c>
      <c r="J53" s="12">
        <f>IF(A53="","",Calculator!$B$35-E53)</f>
        <v/>
      </c>
    </row>
    <row r="54">
      <c r="A54" s="15">
        <f>IF(52/1000&lt;=Calculator!$B$27+0.0000001,52/1000,"")</f>
        <v/>
      </c>
      <c r="B54" s="15">
        <f>IF(A54="","",A54/Calculator!$B$27)</f>
        <v/>
      </c>
      <c r="C54" s="15">
        <f>IF(A54="","",Calculator!$B$27-A54)</f>
        <v/>
      </c>
      <c r="D54" s="17">
        <f>IF(A54="","",(Calculator!$B$11+C54)*Calculator!$B$5)</f>
        <v/>
      </c>
      <c r="E54" s="12">
        <f>IF(A54="","",IF(Calculator!$B$17=1,ROUNDUP(D54*Calculator!$B$8/3600/Calculator!$B$24-0.000000001,0),D54*Calculator!$B$8/3600/Calculator!$B$24))</f>
        <v/>
      </c>
      <c r="F54" s="16">
        <f>IF(A54="","",IF(Calculator!$B$16=1,Calculator!$B$27,A54)*Calculator!$B$5*Calculator!$B$15)</f>
        <v/>
      </c>
      <c r="G54" s="16">
        <f>IF(A54="","",E54*Calculator!$B$6+Calculator!$C$37+F54+Calculator!$B$30)</f>
        <v/>
      </c>
      <c r="H54" s="16">
        <f>IF(A54="","",Calculator!$B$40-G54)</f>
        <v/>
      </c>
      <c r="I54" s="17">
        <f>IF(A54="","",A54*Calculator!$B$5*Calculator!$B$8/3600)</f>
        <v/>
      </c>
      <c r="J54" s="12">
        <f>IF(A54="","",Calculator!$B$35-E54)</f>
        <v/>
      </c>
    </row>
    <row r="55">
      <c r="A55" s="15">
        <f>IF(53/1000&lt;=Calculator!$B$27+0.0000001,53/1000,"")</f>
        <v/>
      </c>
      <c r="B55" s="15">
        <f>IF(A55="","",A55/Calculator!$B$27)</f>
        <v/>
      </c>
      <c r="C55" s="15">
        <f>IF(A55="","",Calculator!$B$27-A55)</f>
        <v/>
      </c>
      <c r="D55" s="17">
        <f>IF(A55="","",(Calculator!$B$11+C55)*Calculator!$B$5)</f>
        <v/>
      </c>
      <c r="E55" s="12">
        <f>IF(A55="","",IF(Calculator!$B$17=1,ROUNDUP(D55*Calculator!$B$8/3600/Calculator!$B$24-0.000000001,0),D55*Calculator!$B$8/3600/Calculator!$B$24))</f>
        <v/>
      </c>
      <c r="F55" s="16">
        <f>IF(A55="","",IF(Calculator!$B$16=1,Calculator!$B$27,A55)*Calculator!$B$5*Calculator!$B$15)</f>
        <v/>
      </c>
      <c r="G55" s="16">
        <f>IF(A55="","",E55*Calculator!$B$6+Calculator!$C$37+F55+Calculator!$B$30)</f>
        <v/>
      </c>
      <c r="H55" s="16">
        <f>IF(A55="","",Calculator!$B$40-G55)</f>
        <v/>
      </c>
      <c r="I55" s="17">
        <f>IF(A55="","",A55*Calculator!$B$5*Calculator!$B$8/3600)</f>
        <v/>
      </c>
      <c r="J55" s="12">
        <f>IF(A55="","",Calculator!$B$35-E55)</f>
        <v/>
      </c>
    </row>
    <row r="56">
      <c r="A56" s="15">
        <f>IF(54/1000&lt;=Calculator!$B$27+0.0000001,54/1000,"")</f>
        <v/>
      </c>
      <c r="B56" s="15">
        <f>IF(A56="","",A56/Calculator!$B$27)</f>
        <v/>
      </c>
      <c r="C56" s="15">
        <f>IF(A56="","",Calculator!$B$27-A56)</f>
        <v/>
      </c>
      <c r="D56" s="17">
        <f>IF(A56="","",(Calculator!$B$11+C56)*Calculator!$B$5)</f>
        <v/>
      </c>
      <c r="E56" s="12">
        <f>IF(A56="","",IF(Calculator!$B$17=1,ROUNDUP(D56*Calculator!$B$8/3600/Calculator!$B$24-0.000000001,0),D56*Calculator!$B$8/3600/Calculator!$B$24))</f>
        <v/>
      </c>
      <c r="F56" s="16">
        <f>IF(A56="","",IF(Calculator!$B$16=1,Calculator!$B$27,A56)*Calculator!$B$5*Calculator!$B$15)</f>
        <v/>
      </c>
      <c r="G56" s="16">
        <f>IF(A56="","",E56*Calculator!$B$6+Calculator!$C$37+F56+Calculator!$B$30)</f>
        <v/>
      </c>
      <c r="H56" s="16">
        <f>IF(A56="","",Calculator!$B$40-G56)</f>
        <v/>
      </c>
      <c r="I56" s="17">
        <f>IF(A56="","",A56*Calculator!$B$5*Calculator!$B$8/3600)</f>
        <v/>
      </c>
      <c r="J56" s="12">
        <f>IF(A56="","",Calculator!$B$35-E56)</f>
        <v/>
      </c>
    </row>
    <row r="57">
      <c r="A57" s="15">
        <f>IF(55/1000&lt;=Calculator!$B$27+0.0000001,55/1000,"")</f>
        <v/>
      </c>
      <c r="B57" s="15">
        <f>IF(A57="","",A57/Calculator!$B$27)</f>
        <v/>
      </c>
      <c r="C57" s="15">
        <f>IF(A57="","",Calculator!$B$27-A57)</f>
        <v/>
      </c>
      <c r="D57" s="17">
        <f>IF(A57="","",(Calculator!$B$11+C57)*Calculator!$B$5)</f>
        <v/>
      </c>
      <c r="E57" s="12">
        <f>IF(A57="","",IF(Calculator!$B$17=1,ROUNDUP(D57*Calculator!$B$8/3600/Calculator!$B$24-0.000000001,0),D57*Calculator!$B$8/3600/Calculator!$B$24))</f>
        <v/>
      </c>
      <c r="F57" s="16">
        <f>IF(A57="","",IF(Calculator!$B$16=1,Calculator!$B$27,A57)*Calculator!$B$5*Calculator!$B$15)</f>
        <v/>
      </c>
      <c r="G57" s="16">
        <f>IF(A57="","",E57*Calculator!$B$6+Calculator!$C$37+F57+Calculator!$B$30)</f>
        <v/>
      </c>
      <c r="H57" s="16">
        <f>IF(A57="","",Calculator!$B$40-G57)</f>
        <v/>
      </c>
      <c r="I57" s="17">
        <f>IF(A57="","",A57*Calculator!$B$5*Calculator!$B$8/3600)</f>
        <v/>
      </c>
      <c r="J57" s="12">
        <f>IF(A57="","",Calculator!$B$35-E57)</f>
        <v/>
      </c>
    </row>
    <row r="58">
      <c r="A58" s="15">
        <f>IF(56/1000&lt;=Calculator!$B$27+0.0000001,56/1000,"")</f>
        <v/>
      </c>
      <c r="B58" s="15">
        <f>IF(A58="","",A58/Calculator!$B$27)</f>
        <v/>
      </c>
      <c r="C58" s="15">
        <f>IF(A58="","",Calculator!$B$27-A58)</f>
        <v/>
      </c>
      <c r="D58" s="17">
        <f>IF(A58="","",(Calculator!$B$11+C58)*Calculator!$B$5)</f>
        <v/>
      </c>
      <c r="E58" s="12">
        <f>IF(A58="","",IF(Calculator!$B$17=1,ROUNDUP(D58*Calculator!$B$8/3600/Calculator!$B$24-0.000000001,0),D58*Calculator!$B$8/3600/Calculator!$B$24))</f>
        <v/>
      </c>
      <c r="F58" s="16">
        <f>IF(A58="","",IF(Calculator!$B$16=1,Calculator!$B$27,A58)*Calculator!$B$5*Calculator!$B$15)</f>
        <v/>
      </c>
      <c r="G58" s="16">
        <f>IF(A58="","",E58*Calculator!$B$6+Calculator!$C$37+F58+Calculator!$B$30)</f>
        <v/>
      </c>
      <c r="H58" s="16">
        <f>IF(A58="","",Calculator!$B$40-G58)</f>
        <v/>
      </c>
      <c r="I58" s="17">
        <f>IF(A58="","",A58*Calculator!$B$5*Calculator!$B$8/3600)</f>
        <v/>
      </c>
      <c r="J58" s="12">
        <f>IF(A58="","",Calculator!$B$35-E58)</f>
        <v/>
      </c>
    </row>
    <row r="59">
      <c r="A59" s="15">
        <f>IF(57/1000&lt;=Calculator!$B$27+0.0000001,57/1000,"")</f>
        <v/>
      </c>
      <c r="B59" s="15">
        <f>IF(A59="","",A59/Calculator!$B$27)</f>
        <v/>
      </c>
      <c r="C59" s="15">
        <f>IF(A59="","",Calculator!$B$27-A59)</f>
        <v/>
      </c>
      <c r="D59" s="17">
        <f>IF(A59="","",(Calculator!$B$11+C59)*Calculator!$B$5)</f>
        <v/>
      </c>
      <c r="E59" s="12">
        <f>IF(A59="","",IF(Calculator!$B$17=1,ROUNDUP(D59*Calculator!$B$8/3600/Calculator!$B$24-0.000000001,0),D59*Calculator!$B$8/3600/Calculator!$B$24))</f>
        <v/>
      </c>
      <c r="F59" s="16">
        <f>IF(A59="","",IF(Calculator!$B$16=1,Calculator!$B$27,A59)*Calculator!$B$5*Calculator!$B$15)</f>
        <v/>
      </c>
      <c r="G59" s="16">
        <f>IF(A59="","",E59*Calculator!$B$6+Calculator!$C$37+F59+Calculator!$B$30)</f>
        <v/>
      </c>
      <c r="H59" s="16">
        <f>IF(A59="","",Calculator!$B$40-G59)</f>
        <v/>
      </c>
      <c r="I59" s="17">
        <f>IF(A59="","",A59*Calculator!$B$5*Calculator!$B$8/3600)</f>
        <v/>
      </c>
      <c r="J59" s="12">
        <f>IF(A59="","",Calculator!$B$35-E59)</f>
        <v/>
      </c>
    </row>
    <row r="60">
      <c r="A60" s="15">
        <f>IF(58/1000&lt;=Calculator!$B$27+0.0000001,58/1000,"")</f>
        <v/>
      </c>
      <c r="B60" s="15">
        <f>IF(A60="","",A60/Calculator!$B$27)</f>
        <v/>
      </c>
      <c r="C60" s="15">
        <f>IF(A60="","",Calculator!$B$27-A60)</f>
        <v/>
      </c>
      <c r="D60" s="17">
        <f>IF(A60="","",(Calculator!$B$11+C60)*Calculator!$B$5)</f>
        <v/>
      </c>
      <c r="E60" s="12">
        <f>IF(A60="","",IF(Calculator!$B$17=1,ROUNDUP(D60*Calculator!$B$8/3600/Calculator!$B$24-0.000000001,0),D60*Calculator!$B$8/3600/Calculator!$B$24))</f>
        <v/>
      </c>
      <c r="F60" s="16">
        <f>IF(A60="","",IF(Calculator!$B$16=1,Calculator!$B$27,A60)*Calculator!$B$5*Calculator!$B$15)</f>
        <v/>
      </c>
      <c r="G60" s="16">
        <f>IF(A60="","",E60*Calculator!$B$6+Calculator!$C$37+F60+Calculator!$B$30)</f>
        <v/>
      </c>
      <c r="H60" s="16">
        <f>IF(A60="","",Calculator!$B$40-G60)</f>
        <v/>
      </c>
      <c r="I60" s="17">
        <f>IF(A60="","",A60*Calculator!$B$5*Calculator!$B$8/3600)</f>
        <v/>
      </c>
      <c r="J60" s="12">
        <f>IF(A60="","",Calculator!$B$35-E60)</f>
        <v/>
      </c>
    </row>
    <row r="61">
      <c r="A61" s="15">
        <f>IF(59/1000&lt;=Calculator!$B$27+0.0000001,59/1000,"")</f>
        <v/>
      </c>
      <c r="B61" s="15">
        <f>IF(A61="","",A61/Calculator!$B$27)</f>
        <v/>
      </c>
      <c r="C61" s="15">
        <f>IF(A61="","",Calculator!$B$27-A61)</f>
        <v/>
      </c>
      <c r="D61" s="17">
        <f>IF(A61="","",(Calculator!$B$11+C61)*Calculator!$B$5)</f>
        <v/>
      </c>
      <c r="E61" s="12">
        <f>IF(A61="","",IF(Calculator!$B$17=1,ROUNDUP(D61*Calculator!$B$8/3600/Calculator!$B$24-0.000000001,0),D61*Calculator!$B$8/3600/Calculator!$B$24))</f>
        <v/>
      </c>
      <c r="F61" s="16">
        <f>IF(A61="","",IF(Calculator!$B$16=1,Calculator!$B$27,A61)*Calculator!$B$5*Calculator!$B$15)</f>
        <v/>
      </c>
      <c r="G61" s="16">
        <f>IF(A61="","",E61*Calculator!$B$6+Calculator!$C$37+F61+Calculator!$B$30)</f>
        <v/>
      </c>
      <c r="H61" s="16">
        <f>IF(A61="","",Calculator!$B$40-G61)</f>
        <v/>
      </c>
      <c r="I61" s="17">
        <f>IF(A61="","",A61*Calculator!$B$5*Calculator!$B$8/3600)</f>
        <v/>
      </c>
      <c r="J61" s="12">
        <f>IF(A61="","",Calculator!$B$35-E61)</f>
        <v/>
      </c>
    </row>
    <row r="62">
      <c r="A62" s="15">
        <f>IF(60/1000&lt;=Calculator!$B$27+0.0000001,60/1000,"")</f>
        <v/>
      </c>
      <c r="B62" s="15">
        <f>IF(A62="","",A62/Calculator!$B$27)</f>
        <v/>
      </c>
      <c r="C62" s="15">
        <f>IF(A62="","",Calculator!$B$27-A62)</f>
        <v/>
      </c>
      <c r="D62" s="17">
        <f>IF(A62="","",(Calculator!$B$11+C62)*Calculator!$B$5)</f>
        <v/>
      </c>
      <c r="E62" s="12">
        <f>IF(A62="","",IF(Calculator!$B$17=1,ROUNDUP(D62*Calculator!$B$8/3600/Calculator!$B$24-0.000000001,0),D62*Calculator!$B$8/3600/Calculator!$B$24))</f>
        <v/>
      </c>
      <c r="F62" s="16">
        <f>IF(A62="","",IF(Calculator!$B$16=1,Calculator!$B$27,A62)*Calculator!$B$5*Calculator!$B$15)</f>
        <v/>
      </c>
      <c r="G62" s="16">
        <f>IF(A62="","",E62*Calculator!$B$6+Calculator!$C$37+F62+Calculator!$B$30)</f>
        <v/>
      </c>
      <c r="H62" s="16">
        <f>IF(A62="","",Calculator!$B$40-G62)</f>
        <v/>
      </c>
      <c r="I62" s="17">
        <f>IF(A62="","",A62*Calculator!$B$5*Calculator!$B$8/3600)</f>
        <v/>
      </c>
      <c r="J62" s="12">
        <f>IF(A62="","",Calculator!$B$35-E62)</f>
        <v/>
      </c>
    </row>
    <row r="63">
      <c r="A63" s="15">
        <f>IF(61/1000&lt;=Calculator!$B$27+0.0000001,61/1000,"")</f>
        <v/>
      </c>
      <c r="B63" s="15">
        <f>IF(A63="","",A63/Calculator!$B$27)</f>
        <v/>
      </c>
      <c r="C63" s="15">
        <f>IF(A63="","",Calculator!$B$27-A63)</f>
        <v/>
      </c>
      <c r="D63" s="17">
        <f>IF(A63="","",(Calculator!$B$11+C63)*Calculator!$B$5)</f>
        <v/>
      </c>
      <c r="E63" s="12">
        <f>IF(A63="","",IF(Calculator!$B$17=1,ROUNDUP(D63*Calculator!$B$8/3600/Calculator!$B$24-0.000000001,0),D63*Calculator!$B$8/3600/Calculator!$B$24))</f>
        <v/>
      </c>
      <c r="F63" s="16">
        <f>IF(A63="","",IF(Calculator!$B$16=1,Calculator!$B$27,A63)*Calculator!$B$5*Calculator!$B$15)</f>
        <v/>
      </c>
      <c r="G63" s="16">
        <f>IF(A63="","",E63*Calculator!$B$6+Calculator!$C$37+F63+Calculator!$B$30)</f>
        <v/>
      </c>
      <c r="H63" s="16">
        <f>IF(A63="","",Calculator!$B$40-G63)</f>
        <v/>
      </c>
      <c r="I63" s="17">
        <f>IF(A63="","",A63*Calculator!$B$5*Calculator!$B$8/3600)</f>
        <v/>
      </c>
      <c r="J63" s="12">
        <f>IF(A63="","",Calculator!$B$35-E63)</f>
        <v/>
      </c>
    </row>
    <row r="64">
      <c r="A64" s="15">
        <f>IF(62/1000&lt;=Calculator!$B$27+0.0000001,62/1000,"")</f>
        <v/>
      </c>
      <c r="B64" s="15">
        <f>IF(A64="","",A64/Calculator!$B$27)</f>
        <v/>
      </c>
      <c r="C64" s="15">
        <f>IF(A64="","",Calculator!$B$27-A64)</f>
        <v/>
      </c>
      <c r="D64" s="17">
        <f>IF(A64="","",(Calculator!$B$11+C64)*Calculator!$B$5)</f>
        <v/>
      </c>
      <c r="E64" s="12">
        <f>IF(A64="","",IF(Calculator!$B$17=1,ROUNDUP(D64*Calculator!$B$8/3600/Calculator!$B$24-0.000000001,0),D64*Calculator!$B$8/3600/Calculator!$B$24))</f>
        <v/>
      </c>
      <c r="F64" s="16">
        <f>IF(A64="","",IF(Calculator!$B$16=1,Calculator!$B$27,A64)*Calculator!$B$5*Calculator!$B$15)</f>
        <v/>
      </c>
      <c r="G64" s="16">
        <f>IF(A64="","",E64*Calculator!$B$6+Calculator!$C$37+F64+Calculator!$B$30)</f>
        <v/>
      </c>
      <c r="H64" s="16">
        <f>IF(A64="","",Calculator!$B$40-G64)</f>
        <v/>
      </c>
      <c r="I64" s="17">
        <f>IF(A64="","",A64*Calculator!$B$5*Calculator!$B$8/3600)</f>
        <v/>
      </c>
      <c r="J64" s="12">
        <f>IF(A64="","",Calculator!$B$35-E64)</f>
        <v/>
      </c>
    </row>
    <row r="65">
      <c r="A65" s="15">
        <f>IF(63/1000&lt;=Calculator!$B$27+0.0000001,63/1000,"")</f>
        <v/>
      </c>
      <c r="B65" s="15">
        <f>IF(A65="","",A65/Calculator!$B$27)</f>
        <v/>
      </c>
      <c r="C65" s="15">
        <f>IF(A65="","",Calculator!$B$27-A65)</f>
        <v/>
      </c>
      <c r="D65" s="17">
        <f>IF(A65="","",(Calculator!$B$11+C65)*Calculator!$B$5)</f>
        <v/>
      </c>
      <c r="E65" s="12">
        <f>IF(A65="","",IF(Calculator!$B$17=1,ROUNDUP(D65*Calculator!$B$8/3600/Calculator!$B$24-0.000000001,0),D65*Calculator!$B$8/3600/Calculator!$B$24))</f>
        <v/>
      </c>
      <c r="F65" s="16">
        <f>IF(A65="","",IF(Calculator!$B$16=1,Calculator!$B$27,A65)*Calculator!$B$5*Calculator!$B$15)</f>
        <v/>
      </c>
      <c r="G65" s="16">
        <f>IF(A65="","",E65*Calculator!$B$6+Calculator!$C$37+F65+Calculator!$B$30)</f>
        <v/>
      </c>
      <c r="H65" s="16">
        <f>IF(A65="","",Calculator!$B$40-G65)</f>
        <v/>
      </c>
      <c r="I65" s="17">
        <f>IF(A65="","",A65*Calculator!$B$5*Calculator!$B$8/3600)</f>
        <v/>
      </c>
      <c r="J65" s="12">
        <f>IF(A65="","",Calculator!$B$35-E65)</f>
        <v/>
      </c>
    </row>
    <row r="66">
      <c r="A66" s="15">
        <f>IF(64/1000&lt;=Calculator!$B$27+0.0000001,64/1000,"")</f>
        <v/>
      </c>
      <c r="B66" s="15">
        <f>IF(A66="","",A66/Calculator!$B$27)</f>
        <v/>
      </c>
      <c r="C66" s="15">
        <f>IF(A66="","",Calculator!$B$27-A66)</f>
        <v/>
      </c>
      <c r="D66" s="17">
        <f>IF(A66="","",(Calculator!$B$11+C66)*Calculator!$B$5)</f>
        <v/>
      </c>
      <c r="E66" s="12">
        <f>IF(A66="","",IF(Calculator!$B$17=1,ROUNDUP(D66*Calculator!$B$8/3600/Calculator!$B$24-0.000000001,0),D66*Calculator!$B$8/3600/Calculator!$B$24))</f>
        <v/>
      </c>
      <c r="F66" s="16">
        <f>IF(A66="","",IF(Calculator!$B$16=1,Calculator!$B$27,A66)*Calculator!$B$5*Calculator!$B$15)</f>
        <v/>
      </c>
      <c r="G66" s="16">
        <f>IF(A66="","",E66*Calculator!$B$6+Calculator!$C$37+F66+Calculator!$B$30)</f>
        <v/>
      </c>
      <c r="H66" s="16">
        <f>IF(A66="","",Calculator!$B$40-G66)</f>
        <v/>
      </c>
      <c r="I66" s="17">
        <f>IF(A66="","",A66*Calculator!$B$5*Calculator!$B$8/3600)</f>
        <v/>
      </c>
      <c r="J66" s="12">
        <f>IF(A66="","",Calculator!$B$35-E66)</f>
        <v/>
      </c>
    </row>
    <row r="67">
      <c r="A67" s="15">
        <f>IF(65/1000&lt;=Calculator!$B$27+0.0000001,65/1000,"")</f>
        <v/>
      </c>
      <c r="B67" s="15">
        <f>IF(A67="","",A67/Calculator!$B$27)</f>
        <v/>
      </c>
      <c r="C67" s="15">
        <f>IF(A67="","",Calculator!$B$27-A67)</f>
        <v/>
      </c>
      <c r="D67" s="17">
        <f>IF(A67="","",(Calculator!$B$11+C67)*Calculator!$B$5)</f>
        <v/>
      </c>
      <c r="E67" s="12">
        <f>IF(A67="","",IF(Calculator!$B$17=1,ROUNDUP(D67*Calculator!$B$8/3600/Calculator!$B$24-0.000000001,0),D67*Calculator!$B$8/3600/Calculator!$B$24))</f>
        <v/>
      </c>
      <c r="F67" s="16">
        <f>IF(A67="","",IF(Calculator!$B$16=1,Calculator!$B$27,A67)*Calculator!$B$5*Calculator!$B$15)</f>
        <v/>
      </c>
      <c r="G67" s="16">
        <f>IF(A67="","",E67*Calculator!$B$6+Calculator!$C$37+F67+Calculator!$B$30)</f>
        <v/>
      </c>
      <c r="H67" s="16">
        <f>IF(A67="","",Calculator!$B$40-G67)</f>
        <v/>
      </c>
      <c r="I67" s="17">
        <f>IF(A67="","",A67*Calculator!$B$5*Calculator!$B$8/3600)</f>
        <v/>
      </c>
      <c r="J67" s="12">
        <f>IF(A67="","",Calculator!$B$35-E67)</f>
        <v/>
      </c>
    </row>
    <row r="68">
      <c r="A68" s="15">
        <f>IF(66/1000&lt;=Calculator!$B$27+0.0000001,66/1000,"")</f>
        <v/>
      </c>
      <c r="B68" s="15">
        <f>IF(A68="","",A68/Calculator!$B$27)</f>
        <v/>
      </c>
      <c r="C68" s="15">
        <f>IF(A68="","",Calculator!$B$27-A68)</f>
        <v/>
      </c>
      <c r="D68" s="17">
        <f>IF(A68="","",(Calculator!$B$11+C68)*Calculator!$B$5)</f>
        <v/>
      </c>
      <c r="E68" s="12">
        <f>IF(A68="","",IF(Calculator!$B$17=1,ROUNDUP(D68*Calculator!$B$8/3600/Calculator!$B$24-0.000000001,0),D68*Calculator!$B$8/3600/Calculator!$B$24))</f>
        <v/>
      </c>
      <c r="F68" s="16">
        <f>IF(A68="","",IF(Calculator!$B$16=1,Calculator!$B$27,A68)*Calculator!$B$5*Calculator!$B$15)</f>
        <v/>
      </c>
      <c r="G68" s="16">
        <f>IF(A68="","",E68*Calculator!$B$6+Calculator!$C$37+F68+Calculator!$B$30)</f>
        <v/>
      </c>
      <c r="H68" s="16">
        <f>IF(A68="","",Calculator!$B$40-G68)</f>
        <v/>
      </c>
      <c r="I68" s="17">
        <f>IF(A68="","",A68*Calculator!$B$5*Calculator!$B$8/3600)</f>
        <v/>
      </c>
      <c r="J68" s="12">
        <f>IF(A68="","",Calculator!$B$35-E68)</f>
        <v/>
      </c>
    </row>
    <row r="69">
      <c r="A69" s="15">
        <f>IF(67/1000&lt;=Calculator!$B$27+0.0000001,67/1000,"")</f>
        <v/>
      </c>
      <c r="B69" s="15">
        <f>IF(A69="","",A69/Calculator!$B$27)</f>
        <v/>
      </c>
      <c r="C69" s="15">
        <f>IF(A69="","",Calculator!$B$27-A69)</f>
        <v/>
      </c>
      <c r="D69" s="17">
        <f>IF(A69="","",(Calculator!$B$11+C69)*Calculator!$B$5)</f>
        <v/>
      </c>
      <c r="E69" s="12">
        <f>IF(A69="","",IF(Calculator!$B$17=1,ROUNDUP(D69*Calculator!$B$8/3600/Calculator!$B$24-0.000000001,0),D69*Calculator!$B$8/3600/Calculator!$B$24))</f>
        <v/>
      </c>
      <c r="F69" s="16">
        <f>IF(A69="","",IF(Calculator!$B$16=1,Calculator!$B$27,A69)*Calculator!$B$5*Calculator!$B$15)</f>
        <v/>
      </c>
      <c r="G69" s="16">
        <f>IF(A69="","",E69*Calculator!$B$6+Calculator!$C$37+F69+Calculator!$B$30)</f>
        <v/>
      </c>
      <c r="H69" s="16">
        <f>IF(A69="","",Calculator!$B$40-G69)</f>
        <v/>
      </c>
      <c r="I69" s="17">
        <f>IF(A69="","",A69*Calculator!$B$5*Calculator!$B$8/3600)</f>
        <v/>
      </c>
      <c r="J69" s="12">
        <f>IF(A69="","",Calculator!$B$35-E69)</f>
        <v/>
      </c>
    </row>
    <row r="70">
      <c r="A70" s="15">
        <f>IF(68/1000&lt;=Calculator!$B$27+0.0000001,68/1000,"")</f>
        <v/>
      </c>
      <c r="B70" s="15">
        <f>IF(A70="","",A70/Calculator!$B$27)</f>
        <v/>
      </c>
      <c r="C70" s="15">
        <f>IF(A70="","",Calculator!$B$27-A70)</f>
        <v/>
      </c>
      <c r="D70" s="17">
        <f>IF(A70="","",(Calculator!$B$11+C70)*Calculator!$B$5)</f>
        <v/>
      </c>
      <c r="E70" s="12">
        <f>IF(A70="","",IF(Calculator!$B$17=1,ROUNDUP(D70*Calculator!$B$8/3600/Calculator!$B$24-0.000000001,0),D70*Calculator!$B$8/3600/Calculator!$B$24))</f>
        <v/>
      </c>
      <c r="F70" s="16">
        <f>IF(A70="","",IF(Calculator!$B$16=1,Calculator!$B$27,A70)*Calculator!$B$5*Calculator!$B$15)</f>
        <v/>
      </c>
      <c r="G70" s="16">
        <f>IF(A70="","",E70*Calculator!$B$6+Calculator!$C$37+F70+Calculator!$B$30)</f>
        <v/>
      </c>
      <c r="H70" s="16">
        <f>IF(A70="","",Calculator!$B$40-G70)</f>
        <v/>
      </c>
      <c r="I70" s="17">
        <f>IF(A70="","",A70*Calculator!$B$5*Calculator!$B$8/3600)</f>
        <v/>
      </c>
      <c r="J70" s="12">
        <f>IF(A70="","",Calculator!$B$35-E70)</f>
        <v/>
      </c>
    </row>
    <row r="71">
      <c r="A71" s="15">
        <f>IF(69/1000&lt;=Calculator!$B$27+0.0000001,69/1000,"")</f>
        <v/>
      </c>
      <c r="B71" s="15">
        <f>IF(A71="","",A71/Calculator!$B$27)</f>
        <v/>
      </c>
      <c r="C71" s="15">
        <f>IF(A71="","",Calculator!$B$27-A71)</f>
        <v/>
      </c>
      <c r="D71" s="17">
        <f>IF(A71="","",(Calculator!$B$11+C71)*Calculator!$B$5)</f>
        <v/>
      </c>
      <c r="E71" s="12">
        <f>IF(A71="","",IF(Calculator!$B$17=1,ROUNDUP(D71*Calculator!$B$8/3600/Calculator!$B$24-0.000000001,0),D71*Calculator!$B$8/3600/Calculator!$B$24))</f>
        <v/>
      </c>
      <c r="F71" s="16">
        <f>IF(A71="","",IF(Calculator!$B$16=1,Calculator!$B$27,A71)*Calculator!$B$5*Calculator!$B$15)</f>
        <v/>
      </c>
      <c r="G71" s="16">
        <f>IF(A71="","",E71*Calculator!$B$6+Calculator!$C$37+F71+Calculator!$B$30)</f>
        <v/>
      </c>
      <c r="H71" s="16">
        <f>IF(A71="","",Calculator!$B$40-G71)</f>
        <v/>
      </c>
      <c r="I71" s="17">
        <f>IF(A71="","",A71*Calculator!$B$5*Calculator!$B$8/3600)</f>
        <v/>
      </c>
      <c r="J71" s="12">
        <f>IF(A71="","",Calculator!$B$35-E71)</f>
        <v/>
      </c>
    </row>
    <row r="72">
      <c r="A72" s="15">
        <f>IF(70/1000&lt;=Calculator!$B$27+0.0000001,70/1000,"")</f>
        <v/>
      </c>
      <c r="B72" s="15">
        <f>IF(A72="","",A72/Calculator!$B$27)</f>
        <v/>
      </c>
      <c r="C72" s="15">
        <f>IF(A72="","",Calculator!$B$27-A72)</f>
        <v/>
      </c>
      <c r="D72" s="17">
        <f>IF(A72="","",(Calculator!$B$11+C72)*Calculator!$B$5)</f>
        <v/>
      </c>
      <c r="E72" s="12">
        <f>IF(A72="","",IF(Calculator!$B$17=1,ROUNDUP(D72*Calculator!$B$8/3600/Calculator!$B$24-0.000000001,0),D72*Calculator!$B$8/3600/Calculator!$B$24))</f>
        <v/>
      </c>
      <c r="F72" s="16">
        <f>IF(A72="","",IF(Calculator!$B$16=1,Calculator!$B$27,A72)*Calculator!$B$5*Calculator!$B$15)</f>
        <v/>
      </c>
      <c r="G72" s="16">
        <f>IF(A72="","",E72*Calculator!$B$6+Calculator!$C$37+F72+Calculator!$B$30)</f>
        <v/>
      </c>
      <c r="H72" s="16">
        <f>IF(A72="","",Calculator!$B$40-G72)</f>
        <v/>
      </c>
      <c r="I72" s="17">
        <f>IF(A72="","",A72*Calculator!$B$5*Calculator!$B$8/3600)</f>
        <v/>
      </c>
      <c r="J72" s="12">
        <f>IF(A72="","",Calculator!$B$35-E72)</f>
        <v/>
      </c>
    </row>
    <row r="73">
      <c r="A73" s="15">
        <f>IF(71/1000&lt;=Calculator!$B$27+0.0000001,71/1000,"")</f>
        <v/>
      </c>
      <c r="B73" s="15">
        <f>IF(A73="","",A73/Calculator!$B$27)</f>
        <v/>
      </c>
      <c r="C73" s="15">
        <f>IF(A73="","",Calculator!$B$27-A73)</f>
        <v/>
      </c>
      <c r="D73" s="17">
        <f>IF(A73="","",(Calculator!$B$11+C73)*Calculator!$B$5)</f>
        <v/>
      </c>
      <c r="E73" s="12">
        <f>IF(A73="","",IF(Calculator!$B$17=1,ROUNDUP(D73*Calculator!$B$8/3600/Calculator!$B$24-0.000000001,0),D73*Calculator!$B$8/3600/Calculator!$B$24))</f>
        <v/>
      </c>
      <c r="F73" s="16">
        <f>IF(A73="","",IF(Calculator!$B$16=1,Calculator!$B$27,A73)*Calculator!$B$5*Calculator!$B$15)</f>
        <v/>
      </c>
      <c r="G73" s="16">
        <f>IF(A73="","",E73*Calculator!$B$6+Calculator!$C$37+F73+Calculator!$B$30)</f>
        <v/>
      </c>
      <c r="H73" s="16">
        <f>IF(A73="","",Calculator!$B$40-G73)</f>
        <v/>
      </c>
      <c r="I73" s="17">
        <f>IF(A73="","",A73*Calculator!$B$5*Calculator!$B$8/3600)</f>
        <v/>
      </c>
      <c r="J73" s="12">
        <f>IF(A73="","",Calculator!$B$35-E73)</f>
        <v/>
      </c>
    </row>
    <row r="74">
      <c r="A74" s="15">
        <f>IF(72/1000&lt;=Calculator!$B$27+0.0000001,72/1000,"")</f>
        <v/>
      </c>
      <c r="B74" s="15">
        <f>IF(A74="","",A74/Calculator!$B$27)</f>
        <v/>
      </c>
      <c r="C74" s="15">
        <f>IF(A74="","",Calculator!$B$27-A74)</f>
        <v/>
      </c>
      <c r="D74" s="17">
        <f>IF(A74="","",(Calculator!$B$11+C74)*Calculator!$B$5)</f>
        <v/>
      </c>
      <c r="E74" s="12">
        <f>IF(A74="","",IF(Calculator!$B$17=1,ROUNDUP(D74*Calculator!$B$8/3600/Calculator!$B$24-0.000000001,0),D74*Calculator!$B$8/3600/Calculator!$B$24))</f>
        <v/>
      </c>
      <c r="F74" s="16">
        <f>IF(A74="","",IF(Calculator!$B$16=1,Calculator!$B$27,A74)*Calculator!$B$5*Calculator!$B$15)</f>
        <v/>
      </c>
      <c r="G74" s="16">
        <f>IF(A74="","",E74*Calculator!$B$6+Calculator!$C$37+F74+Calculator!$B$30)</f>
        <v/>
      </c>
      <c r="H74" s="16">
        <f>IF(A74="","",Calculator!$B$40-G74)</f>
        <v/>
      </c>
      <c r="I74" s="17">
        <f>IF(A74="","",A74*Calculator!$B$5*Calculator!$B$8/3600)</f>
        <v/>
      </c>
      <c r="J74" s="12">
        <f>IF(A74="","",Calculator!$B$35-E74)</f>
        <v/>
      </c>
    </row>
    <row r="75">
      <c r="A75" s="15">
        <f>IF(73/1000&lt;=Calculator!$B$27+0.0000001,73/1000,"")</f>
        <v/>
      </c>
      <c r="B75" s="15">
        <f>IF(A75="","",A75/Calculator!$B$27)</f>
        <v/>
      </c>
      <c r="C75" s="15">
        <f>IF(A75="","",Calculator!$B$27-A75)</f>
        <v/>
      </c>
      <c r="D75" s="17">
        <f>IF(A75="","",(Calculator!$B$11+C75)*Calculator!$B$5)</f>
        <v/>
      </c>
      <c r="E75" s="12">
        <f>IF(A75="","",IF(Calculator!$B$17=1,ROUNDUP(D75*Calculator!$B$8/3600/Calculator!$B$24-0.000000001,0),D75*Calculator!$B$8/3600/Calculator!$B$24))</f>
        <v/>
      </c>
      <c r="F75" s="16">
        <f>IF(A75="","",IF(Calculator!$B$16=1,Calculator!$B$27,A75)*Calculator!$B$5*Calculator!$B$15)</f>
        <v/>
      </c>
      <c r="G75" s="16">
        <f>IF(A75="","",E75*Calculator!$B$6+Calculator!$C$37+F75+Calculator!$B$30)</f>
        <v/>
      </c>
      <c r="H75" s="16">
        <f>IF(A75="","",Calculator!$B$40-G75)</f>
        <v/>
      </c>
      <c r="I75" s="17">
        <f>IF(A75="","",A75*Calculator!$B$5*Calculator!$B$8/3600)</f>
        <v/>
      </c>
      <c r="J75" s="12">
        <f>IF(A75="","",Calculator!$B$35-E75)</f>
        <v/>
      </c>
    </row>
    <row r="76">
      <c r="A76" s="15">
        <f>IF(74/1000&lt;=Calculator!$B$27+0.0000001,74/1000,"")</f>
        <v/>
      </c>
      <c r="B76" s="15">
        <f>IF(A76="","",A76/Calculator!$B$27)</f>
        <v/>
      </c>
      <c r="C76" s="15">
        <f>IF(A76="","",Calculator!$B$27-A76)</f>
        <v/>
      </c>
      <c r="D76" s="17">
        <f>IF(A76="","",(Calculator!$B$11+C76)*Calculator!$B$5)</f>
        <v/>
      </c>
      <c r="E76" s="12">
        <f>IF(A76="","",IF(Calculator!$B$17=1,ROUNDUP(D76*Calculator!$B$8/3600/Calculator!$B$24-0.000000001,0),D76*Calculator!$B$8/3600/Calculator!$B$24))</f>
        <v/>
      </c>
      <c r="F76" s="16">
        <f>IF(A76="","",IF(Calculator!$B$16=1,Calculator!$B$27,A76)*Calculator!$B$5*Calculator!$B$15)</f>
        <v/>
      </c>
      <c r="G76" s="16">
        <f>IF(A76="","",E76*Calculator!$B$6+Calculator!$C$37+F76+Calculator!$B$30)</f>
        <v/>
      </c>
      <c r="H76" s="16">
        <f>IF(A76="","",Calculator!$B$40-G76)</f>
        <v/>
      </c>
      <c r="I76" s="17">
        <f>IF(A76="","",A76*Calculator!$B$5*Calculator!$B$8/3600)</f>
        <v/>
      </c>
      <c r="J76" s="12">
        <f>IF(A76="","",Calculator!$B$35-E76)</f>
        <v/>
      </c>
    </row>
    <row r="77">
      <c r="A77" s="15">
        <f>IF(75/1000&lt;=Calculator!$B$27+0.0000001,75/1000,"")</f>
        <v/>
      </c>
      <c r="B77" s="15">
        <f>IF(A77="","",A77/Calculator!$B$27)</f>
        <v/>
      </c>
      <c r="C77" s="15">
        <f>IF(A77="","",Calculator!$B$27-A77)</f>
        <v/>
      </c>
      <c r="D77" s="17">
        <f>IF(A77="","",(Calculator!$B$11+C77)*Calculator!$B$5)</f>
        <v/>
      </c>
      <c r="E77" s="12">
        <f>IF(A77="","",IF(Calculator!$B$17=1,ROUNDUP(D77*Calculator!$B$8/3600/Calculator!$B$24-0.000000001,0),D77*Calculator!$B$8/3600/Calculator!$B$24))</f>
        <v/>
      </c>
      <c r="F77" s="16">
        <f>IF(A77="","",IF(Calculator!$B$16=1,Calculator!$B$27,A77)*Calculator!$B$5*Calculator!$B$15)</f>
        <v/>
      </c>
      <c r="G77" s="16">
        <f>IF(A77="","",E77*Calculator!$B$6+Calculator!$C$37+F77+Calculator!$B$30)</f>
        <v/>
      </c>
      <c r="H77" s="16">
        <f>IF(A77="","",Calculator!$B$40-G77)</f>
        <v/>
      </c>
      <c r="I77" s="17">
        <f>IF(A77="","",A77*Calculator!$B$5*Calculator!$B$8/3600)</f>
        <v/>
      </c>
      <c r="J77" s="12">
        <f>IF(A77="","",Calculator!$B$35-E77)</f>
        <v/>
      </c>
    </row>
    <row r="78">
      <c r="A78" s="15">
        <f>IF(76/1000&lt;=Calculator!$B$27+0.0000001,76/1000,"")</f>
        <v/>
      </c>
      <c r="B78" s="15">
        <f>IF(A78="","",A78/Calculator!$B$27)</f>
        <v/>
      </c>
      <c r="C78" s="15">
        <f>IF(A78="","",Calculator!$B$27-A78)</f>
        <v/>
      </c>
      <c r="D78" s="17">
        <f>IF(A78="","",(Calculator!$B$11+C78)*Calculator!$B$5)</f>
        <v/>
      </c>
      <c r="E78" s="12">
        <f>IF(A78="","",IF(Calculator!$B$17=1,ROUNDUP(D78*Calculator!$B$8/3600/Calculator!$B$24-0.000000001,0),D78*Calculator!$B$8/3600/Calculator!$B$24))</f>
        <v/>
      </c>
      <c r="F78" s="16">
        <f>IF(A78="","",IF(Calculator!$B$16=1,Calculator!$B$27,A78)*Calculator!$B$5*Calculator!$B$15)</f>
        <v/>
      </c>
      <c r="G78" s="16">
        <f>IF(A78="","",E78*Calculator!$B$6+Calculator!$C$37+F78+Calculator!$B$30)</f>
        <v/>
      </c>
      <c r="H78" s="16">
        <f>IF(A78="","",Calculator!$B$40-G78)</f>
        <v/>
      </c>
      <c r="I78" s="17">
        <f>IF(A78="","",A78*Calculator!$B$5*Calculator!$B$8/3600)</f>
        <v/>
      </c>
      <c r="J78" s="12">
        <f>IF(A78="","",Calculator!$B$35-E78)</f>
        <v/>
      </c>
    </row>
    <row r="79">
      <c r="A79" s="15">
        <f>IF(77/1000&lt;=Calculator!$B$27+0.0000001,77/1000,"")</f>
        <v/>
      </c>
      <c r="B79" s="15">
        <f>IF(A79="","",A79/Calculator!$B$27)</f>
        <v/>
      </c>
      <c r="C79" s="15">
        <f>IF(A79="","",Calculator!$B$27-A79)</f>
        <v/>
      </c>
      <c r="D79" s="17">
        <f>IF(A79="","",(Calculator!$B$11+C79)*Calculator!$B$5)</f>
        <v/>
      </c>
      <c r="E79" s="12">
        <f>IF(A79="","",IF(Calculator!$B$17=1,ROUNDUP(D79*Calculator!$B$8/3600/Calculator!$B$24-0.000000001,0),D79*Calculator!$B$8/3600/Calculator!$B$24))</f>
        <v/>
      </c>
      <c r="F79" s="16">
        <f>IF(A79="","",IF(Calculator!$B$16=1,Calculator!$B$27,A79)*Calculator!$B$5*Calculator!$B$15)</f>
        <v/>
      </c>
      <c r="G79" s="16">
        <f>IF(A79="","",E79*Calculator!$B$6+Calculator!$C$37+F79+Calculator!$B$30)</f>
        <v/>
      </c>
      <c r="H79" s="16">
        <f>IF(A79="","",Calculator!$B$40-G79)</f>
        <v/>
      </c>
      <c r="I79" s="17">
        <f>IF(A79="","",A79*Calculator!$B$5*Calculator!$B$8/3600)</f>
        <v/>
      </c>
      <c r="J79" s="12">
        <f>IF(A79="","",Calculator!$B$35-E79)</f>
        <v/>
      </c>
    </row>
    <row r="80">
      <c r="A80" s="15">
        <f>IF(78/1000&lt;=Calculator!$B$27+0.0000001,78/1000,"")</f>
        <v/>
      </c>
      <c r="B80" s="15">
        <f>IF(A80="","",A80/Calculator!$B$27)</f>
        <v/>
      </c>
      <c r="C80" s="15">
        <f>IF(A80="","",Calculator!$B$27-A80)</f>
        <v/>
      </c>
      <c r="D80" s="17">
        <f>IF(A80="","",(Calculator!$B$11+C80)*Calculator!$B$5)</f>
        <v/>
      </c>
      <c r="E80" s="12">
        <f>IF(A80="","",IF(Calculator!$B$17=1,ROUNDUP(D80*Calculator!$B$8/3600/Calculator!$B$24-0.000000001,0),D80*Calculator!$B$8/3600/Calculator!$B$24))</f>
        <v/>
      </c>
      <c r="F80" s="16">
        <f>IF(A80="","",IF(Calculator!$B$16=1,Calculator!$B$27,A80)*Calculator!$B$5*Calculator!$B$15)</f>
        <v/>
      </c>
      <c r="G80" s="16">
        <f>IF(A80="","",E80*Calculator!$B$6+Calculator!$C$37+F80+Calculator!$B$30)</f>
        <v/>
      </c>
      <c r="H80" s="16">
        <f>IF(A80="","",Calculator!$B$40-G80)</f>
        <v/>
      </c>
      <c r="I80" s="17">
        <f>IF(A80="","",A80*Calculator!$B$5*Calculator!$B$8/3600)</f>
        <v/>
      </c>
      <c r="J80" s="12">
        <f>IF(A80="","",Calculator!$B$35-E80)</f>
        <v/>
      </c>
    </row>
    <row r="81">
      <c r="A81" s="15">
        <f>IF(79/1000&lt;=Calculator!$B$27+0.0000001,79/1000,"")</f>
        <v/>
      </c>
      <c r="B81" s="15">
        <f>IF(A81="","",A81/Calculator!$B$27)</f>
        <v/>
      </c>
      <c r="C81" s="15">
        <f>IF(A81="","",Calculator!$B$27-A81)</f>
        <v/>
      </c>
      <c r="D81" s="17">
        <f>IF(A81="","",(Calculator!$B$11+C81)*Calculator!$B$5)</f>
        <v/>
      </c>
      <c r="E81" s="12">
        <f>IF(A81="","",IF(Calculator!$B$17=1,ROUNDUP(D81*Calculator!$B$8/3600/Calculator!$B$24-0.000000001,0),D81*Calculator!$B$8/3600/Calculator!$B$24))</f>
        <v/>
      </c>
      <c r="F81" s="16">
        <f>IF(A81="","",IF(Calculator!$B$16=1,Calculator!$B$27,A81)*Calculator!$B$5*Calculator!$B$15)</f>
        <v/>
      </c>
      <c r="G81" s="16">
        <f>IF(A81="","",E81*Calculator!$B$6+Calculator!$C$37+F81+Calculator!$B$30)</f>
        <v/>
      </c>
      <c r="H81" s="16">
        <f>IF(A81="","",Calculator!$B$40-G81)</f>
        <v/>
      </c>
      <c r="I81" s="17">
        <f>IF(A81="","",A81*Calculator!$B$5*Calculator!$B$8/3600)</f>
        <v/>
      </c>
      <c r="J81" s="12">
        <f>IF(A81="","",Calculator!$B$35-E81)</f>
        <v/>
      </c>
    </row>
    <row r="82">
      <c r="A82" s="15">
        <f>IF(80/1000&lt;=Calculator!$B$27+0.0000001,80/1000,"")</f>
        <v/>
      </c>
      <c r="B82" s="15">
        <f>IF(A82="","",A82/Calculator!$B$27)</f>
        <v/>
      </c>
      <c r="C82" s="15">
        <f>IF(A82="","",Calculator!$B$27-A82)</f>
        <v/>
      </c>
      <c r="D82" s="17">
        <f>IF(A82="","",(Calculator!$B$11+C82)*Calculator!$B$5)</f>
        <v/>
      </c>
      <c r="E82" s="12">
        <f>IF(A82="","",IF(Calculator!$B$17=1,ROUNDUP(D82*Calculator!$B$8/3600/Calculator!$B$24-0.000000001,0),D82*Calculator!$B$8/3600/Calculator!$B$24))</f>
        <v/>
      </c>
      <c r="F82" s="16">
        <f>IF(A82="","",IF(Calculator!$B$16=1,Calculator!$B$27,A82)*Calculator!$B$5*Calculator!$B$15)</f>
        <v/>
      </c>
      <c r="G82" s="16">
        <f>IF(A82="","",E82*Calculator!$B$6+Calculator!$C$37+F82+Calculator!$B$30)</f>
        <v/>
      </c>
      <c r="H82" s="16">
        <f>IF(A82="","",Calculator!$B$40-G82)</f>
        <v/>
      </c>
      <c r="I82" s="17">
        <f>IF(A82="","",A82*Calculator!$B$5*Calculator!$B$8/3600)</f>
        <v/>
      </c>
      <c r="J82" s="12">
        <f>IF(A82="","",Calculator!$B$35-E82)</f>
        <v/>
      </c>
    </row>
    <row r="83">
      <c r="A83" s="15">
        <f>IF(81/1000&lt;=Calculator!$B$27+0.0000001,81/1000,"")</f>
        <v/>
      </c>
      <c r="B83" s="15">
        <f>IF(A83="","",A83/Calculator!$B$27)</f>
        <v/>
      </c>
      <c r="C83" s="15">
        <f>IF(A83="","",Calculator!$B$27-A83)</f>
        <v/>
      </c>
      <c r="D83" s="17">
        <f>IF(A83="","",(Calculator!$B$11+C83)*Calculator!$B$5)</f>
        <v/>
      </c>
      <c r="E83" s="12">
        <f>IF(A83="","",IF(Calculator!$B$17=1,ROUNDUP(D83*Calculator!$B$8/3600/Calculator!$B$24-0.000000001,0),D83*Calculator!$B$8/3600/Calculator!$B$24))</f>
        <v/>
      </c>
      <c r="F83" s="16">
        <f>IF(A83="","",IF(Calculator!$B$16=1,Calculator!$B$27,A83)*Calculator!$B$5*Calculator!$B$15)</f>
        <v/>
      </c>
      <c r="G83" s="16">
        <f>IF(A83="","",E83*Calculator!$B$6+Calculator!$C$37+F83+Calculator!$B$30)</f>
        <v/>
      </c>
      <c r="H83" s="16">
        <f>IF(A83="","",Calculator!$B$40-G83)</f>
        <v/>
      </c>
      <c r="I83" s="17">
        <f>IF(A83="","",A83*Calculator!$B$5*Calculator!$B$8/3600)</f>
        <v/>
      </c>
      <c r="J83" s="12">
        <f>IF(A83="","",Calculator!$B$35-E83)</f>
        <v/>
      </c>
    </row>
    <row r="84">
      <c r="A84" s="15">
        <f>IF(82/1000&lt;=Calculator!$B$27+0.0000001,82/1000,"")</f>
        <v/>
      </c>
      <c r="B84" s="15">
        <f>IF(A84="","",A84/Calculator!$B$27)</f>
        <v/>
      </c>
      <c r="C84" s="15">
        <f>IF(A84="","",Calculator!$B$27-A84)</f>
        <v/>
      </c>
      <c r="D84" s="17">
        <f>IF(A84="","",(Calculator!$B$11+C84)*Calculator!$B$5)</f>
        <v/>
      </c>
      <c r="E84" s="12">
        <f>IF(A84="","",IF(Calculator!$B$17=1,ROUNDUP(D84*Calculator!$B$8/3600/Calculator!$B$24-0.000000001,0),D84*Calculator!$B$8/3600/Calculator!$B$24))</f>
        <v/>
      </c>
      <c r="F84" s="16">
        <f>IF(A84="","",IF(Calculator!$B$16=1,Calculator!$B$27,A84)*Calculator!$B$5*Calculator!$B$15)</f>
        <v/>
      </c>
      <c r="G84" s="16">
        <f>IF(A84="","",E84*Calculator!$B$6+Calculator!$C$37+F84+Calculator!$B$30)</f>
        <v/>
      </c>
      <c r="H84" s="16">
        <f>IF(A84="","",Calculator!$B$40-G84)</f>
        <v/>
      </c>
      <c r="I84" s="17">
        <f>IF(A84="","",A84*Calculator!$B$5*Calculator!$B$8/3600)</f>
        <v/>
      </c>
      <c r="J84" s="12">
        <f>IF(A84="","",Calculator!$B$35-E84)</f>
        <v/>
      </c>
    </row>
    <row r="85">
      <c r="A85" s="15">
        <f>IF(83/1000&lt;=Calculator!$B$27+0.0000001,83/1000,"")</f>
        <v/>
      </c>
      <c r="B85" s="15">
        <f>IF(A85="","",A85/Calculator!$B$27)</f>
        <v/>
      </c>
      <c r="C85" s="15">
        <f>IF(A85="","",Calculator!$B$27-A85)</f>
        <v/>
      </c>
      <c r="D85" s="17">
        <f>IF(A85="","",(Calculator!$B$11+C85)*Calculator!$B$5)</f>
        <v/>
      </c>
      <c r="E85" s="12">
        <f>IF(A85="","",IF(Calculator!$B$17=1,ROUNDUP(D85*Calculator!$B$8/3600/Calculator!$B$24-0.000000001,0),D85*Calculator!$B$8/3600/Calculator!$B$24))</f>
        <v/>
      </c>
      <c r="F85" s="16">
        <f>IF(A85="","",IF(Calculator!$B$16=1,Calculator!$B$27,A85)*Calculator!$B$5*Calculator!$B$15)</f>
        <v/>
      </c>
      <c r="G85" s="16">
        <f>IF(A85="","",E85*Calculator!$B$6+Calculator!$C$37+F85+Calculator!$B$30)</f>
        <v/>
      </c>
      <c r="H85" s="16">
        <f>IF(A85="","",Calculator!$B$40-G85)</f>
        <v/>
      </c>
      <c r="I85" s="17">
        <f>IF(A85="","",A85*Calculator!$B$5*Calculator!$B$8/3600)</f>
        <v/>
      </c>
      <c r="J85" s="12">
        <f>IF(A85="","",Calculator!$B$35-E85)</f>
        <v/>
      </c>
    </row>
    <row r="86">
      <c r="A86" s="15">
        <f>IF(84/1000&lt;=Calculator!$B$27+0.0000001,84/1000,"")</f>
        <v/>
      </c>
      <c r="B86" s="15">
        <f>IF(A86="","",A86/Calculator!$B$27)</f>
        <v/>
      </c>
      <c r="C86" s="15">
        <f>IF(A86="","",Calculator!$B$27-A86)</f>
        <v/>
      </c>
      <c r="D86" s="17">
        <f>IF(A86="","",(Calculator!$B$11+C86)*Calculator!$B$5)</f>
        <v/>
      </c>
      <c r="E86" s="12">
        <f>IF(A86="","",IF(Calculator!$B$17=1,ROUNDUP(D86*Calculator!$B$8/3600/Calculator!$B$24-0.000000001,0),D86*Calculator!$B$8/3600/Calculator!$B$24))</f>
        <v/>
      </c>
      <c r="F86" s="16">
        <f>IF(A86="","",IF(Calculator!$B$16=1,Calculator!$B$27,A86)*Calculator!$B$5*Calculator!$B$15)</f>
        <v/>
      </c>
      <c r="G86" s="16">
        <f>IF(A86="","",E86*Calculator!$B$6+Calculator!$C$37+F86+Calculator!$B$30)</f>
        <v/>
      </c>
      <c r="H86" s="16">
        <f>IF(A86="","",Calculator!$B$40-G86)</f>
        <v/>
      </c>
      <c r="I86" s="17">
        <f>IF(A86="","",A86*Calculator!$B$5*Calculator!$B$8/3600)</f>
        <v/>
      </c>
      <c r="J86" s="12">
        <f>IF(A86="","",Calculator!$B$35-E86)</f>
        <v/>
      </c>
    </row>
    <row r="87">
      <c r="A87" s="15">
        <f>IF(85/1000&lt;=Calculator!$B$27+0.0000001,85/1000,"")</f>
        <v/>
      </c>
      <c r="B87" s="15">
        <f>IF(A87="","",A87/Calculator!$B$27)</f>
        <v/>
      </c>
      <c r="C87" s="15">
        <f>IF(A87="","",Calculator!$B$27-A87)</f>
        <v/>
      </c>
      <c r="D87" s="17">
        <f>IF(A87="","",(Calculator!$B$11+C87)*Calculator!$B$5)</f>
        <v/>
      </c>
      <c r="E87" s="12">
        <f>IF(A87="","",IF(Calculator!$B$17=1,ROUNDUP(D87*Calculator!$B$8/3600/Calculator!$B$24-0.000000001,0),D87*Calculator!$B$8/3600/Calculator!$B$24))</f>
        <v/>
      </c>
      <c r="F87" s="16">
        <f>IF(A87="","",IF(Calculator!$B$16=1,Calculator!$B$27,A87)*Calculator!$B$5*Calculator!$B$15)</f>
        <v/>
      </c>
      <c r="G87" s="16">
        <f>IF(A87="","",E87*Calculator!$B$6+Calculator!$C$37+F87+Calculator!$B$30)</f>
        <v/>
      </c>
      <c r="H87" s="16">
        <f>IF(A87="","",Calculator!$B$40-G87)</f>
        <v/>
      </c>
      <c r="I87" s="17">
        <f>IF(A87="","",A87*Calculator!$B$5*Calculator!$B$8/3600)</f>
        <v/>
      </c>
      <c r="J87" s="12">
        <f>IF(A87="","",Calculator!$B$35-E87)</f>
        <v/>
      </c>
    </row>
    <row r="88">
      <c r="A88" s="15">
        <f>IF(86/1000&lt;=Calculator!$B$27+0.0000001,86/1000,"")</f>
        <v/>
      </c>
      <c r="B88" s="15">
        <f>IF(A88="","",A88/Calculator!$B$27)</f>
        <v/>
      </c>
      <c r="C88" s="15">
        <f>IF(A88="","",Calculator!$B$27-A88)</f>
        <v/>
      </c>
      <c r="D88" s="17">
        <f>IF(A88="","",(Calculator!$B$11+C88)*Calculator!$B$5)</f>
        <v/>
      </c>
      <c r="E88" s="12">
        <f>IF(A88="","",IF(Calculator!$B$17=1,ROUNDUP(D88*Calculator!$B$8/3600/Calculator!$B$24-0.000000001,0),D88*Calculator!$B$8/3600/Calculator!$B$24))</f>
        <v/>
      </c>
      <c r="F88" s="16">
        <f>IF(A88="","",IF(Calculator!$B$16=1,Calculator!$B$27,A88)*Calculator!$B$5*Calculator!$B$15)</f>
        <v/>
      </c>
      <c r="G88" s="16">
        <f>IF(A88="","",E88*Calculator!$B$6+Calculator!$C$37+F88+Calculator!$B$30)</f>
        <v/>
      </c>
      <c r="H88" s="16">
        <f>IF(A88="","",Calculator!$B$40-G88)</f>
        <v/>
      </c>
      <c r="I88" s="17">
        <f>IF(A88="","",A88*Calculator!$B$5*Calculator!$B$8/3600)</f>
        <v/>
      </c>
      <c r="J88" s="12">
        <f>IF(A88="","",Calculator!$B$35-E88)</f>
        <v/>
      </c>
    </row>
    <row r="89">
      <c r="A89" s="15">
        <f>IF(87/1000&lt;=Calculator!$B$27+0.0000001,87/1000,"")</f>
        <v/>
      </c>
      <c r="B89" s="15">
        <f>IF(A89="","",A89/Calculator!$B$27)</f>
        <v/>
      </c>
      <c r="C89" s="15">
        <f>IF(A89="","",Calculator!$B$27-A89)</f>
        <v/>
      </c>
      <c r="D89" s="17">
        <f>IF(A89="","",(Calculator!$B$11+C89)*Calculator!$B$5)</f>
        <v/>
      </c>
      <c r="E89" s="12">
        <f>IF(A89="","",IF(Calculator!$B$17=1,ROUNDUP(D89*Calculator!$B$8/3600/Calculator!$B$24-0.000000001,0),D89*Calculator!$B$8/3600/Calculator!$B$24))</f>
        <v/>
      </c>
      <c r="F89" s="16">
        <f>IF(A89="","",IF(Calculator!$B$16=1,Calculator!$B$27,A89)*Calculator!$B$5*Calculator!$B$15)</f>
        <v/>
      </c>
      <c r="G89" s="16">
        <f>IF(A89="","",E89*Calculator!$B$6+Calculator!$C$37+F89+Calculator!$B$30)</f>
        <v/>
      </c>
      <c r="H89" s="16">
        <f>IF(A89="","",Calculator!$B$40-G89)</f>
        <v/>
      </c>
      <c r="I89" s="17">
        <f>IF(A89="","",A89*Calculator!$B$5*Calculator!$B$8/3600)</f>
        <v/>
      </c>
      <c r="J89" s="12">
        <f>IF(A89="","",Calculator!$B$35-E89)</f>
        <v/>
      </c>
    </row>
    <row r="90">
      <c r="A90" s="15">
        <f>IF(88/1000&lt;=Calculator!$B$27+0.0000001,88/1000,"")</f>
        <v/>
      </c>
      <c r="B90" s="15">
        <f>IF(A90="","",A90/Calculator!$B$27)</f>
        <v/>
      </c>
      <c r="C90" s="15">
        <f>IF(A90="","",Calculator!$B$27-A90)</f>
        <v/>
      </c>
      <c r="D90" s="17">
        <f>IF(A90="","",(Calculator!$B$11+C90)*Calculator!$B$5)</f>
        <v/>
      </c>
      <c r="E90" s="12">
        <f>IF(A90="","",IF(Calculator!$B$17=1,ROUNDUP(D90*Calculator!$B$8/3600/Calculator!$B$24-0.000000001,0),D90*Calculator!$B$8/3600/Calculator!$B$24))</f>
        <v/>
      </c>
      <c r="F90" s="16">
        <f>IF(A90="","",IF(Calculator!$B$16=1,Calculator!$B$27,A90)*Calculator!$B$5*Calculator!$B$15)</f>
        <v/>
      </c>
      <c r="G90" s="16">
        <f>IF(A90="","",E90*Calculator!$B$6+Calculator!$C$37+F90+Calculator!$B$30)</f>
        <v/>
      </c>
      <c r="H90" s="16">
        <f>IF(A90="","",Calculator!$B$40-G90)</f>
        <v/>
      </c>
      <c r="I90" s="17">
        <f>IF(A90="","",A90*Calculator!$B$5*Calculator!$B$8/3600)</f>
        <v/>
      </c>
      <c r="J90" s="12">
        <f>IF(A90="","",Calculator!$B$35-E90)</f>
        <v/>
      </c>
    </row>
    <row r="91">
      <c r="A91" s="15">
        <f>IF(89/1000&lt;=Calculator!$B$27+0.0000001,89/1000,"")</f>
        <v/>
      </c>
      <c r="B91" s="15">
        <f>IF(A91="","",A91/Calculator!$B$27)</f>
        <v/>
      </c>
      <c r="C91" s="15">
        <f>IF(A91="","",Calculator!$B$27-A91)</f>
        <v/>
      </c>
      <c r="D91" s="17">
        <f>IF(A91="","",(Calculator!$B$11+C91)*Calculator!$B$5)</f>
        <v/>
      </c>
      <c r="E91" s="12">
        <f>IF(A91="","",IF(Calculator!$B$17=1,ROUNDUP(D91*Calculator!$B$8/3600/Calculator!$B$24-0.000000001,0),D91*Calculator!$B$8/3600/Calculator!$B$24))</f>
        <v/>
      </c>
      <c r="F91" s="16">
        <f>IF(A91="","",IF(Calculator!$B$16=1,Calculator!$B$27,A91)*Calculator!$B$5*Calculator!$B$15)</f>
        <v/>
      </c>
      <c r="G91" s="16">
        <f>IF(A91="","",E91*Calculator!$B$6+Calculator!$C$37+F91+Calculator!$B$30)</f>
        <v/>
      </c>
      <c r="H91" s="16">
        <f>IF(A91="","",Calculator!$B$40-G91)</f>
        <v/>
      </c>
      <c r="I91" s="17">
        <f>IF(A91="","",A91*Calculator!$B$5*Calculator!$B$8/3600)</f>
        <v/>
      </c>
      <c r="J91" s="12">
        <f>IF(A91="","",Calculator!$B$35-E91)</f>
        <v/>
      </c>
    </row>
    <row r="92">
      <c r="A92" s="15">
        <f>IF(90/1000&lt;=Calculator!$B$27+0.0000001,90/1000,"")</f>
        <v/>
      </c>
      <c r="B92" s="15">
        <f>IF(A92="","",A92/Calculator!$B$27)</f>
        <v/>
      </c>
      <c r="C92" s="15">
        <f>IF(A92="","",Calculator!$B$27-A92)</f>
        <v/>
      </c>
      <c r="D92" s="17">
        <f>IF(A92="","",(Calculator!$B$11+C92)*Calculator!$B$5)</f>
        <v/>
      </c>
      <c r="E92" s="12">
        <f>IF(A92="","",IF(Calculator!$B$17=1,ROUNDUP(D92*Calculator!$B$8/3600/Calculator!$B$24-0.000000001,0),D92*Calculator!$B$8/3600/Calculator!$B$24))</f>
        <v/>
      </c>
      <c r="F92" s="16">
        <f>IF(A92="","",IF(Calculator!$B$16=1,Calculator!$B$27,A92)*Calculator!$B$5*Calculator!$B$15)</f>
        <v/>
      </c>
      <c r="G92" s="16">
        <f>IF(A92="","",E92*Calculator!$B$6+Calculator!$C$37+F92+Calculator!$B$30)</f>
        <v/>
      </c>
      <c r="H92" s="16">
        <f>IF(A92="","",Calculator!$B$40-G92)</f>
        <v/>
      </c>
      <c r="I92" s="17">
        <f>IF(A92="","",A92*Calculator!$B$5*Calculator!$B$8/3600)</f>
        <v/>
      </c>
      <c r="J92" s="12">
        <f>IF(A92="","",Calculator!$B$35-E92)</f>
        <v/>
      </c>
    </row>
    <row r="93">
      <c r="A93" s="15">
        <f>IF(91/1000&lt;=Calculator!$B$27+0.0000001,91/1000,"")</f>
        <v/>
      </c>
      <c r="B93" s="15">
        <f>IF(A93="","",A93/Calculator!$B$27)</f>
        <v/>
      </c>
      <c r="C93" s="15">
        <f>IF(A93="","",Calculator!$B$27-A93)</f>
        <v/>
      </c>
      <c r="D93" s="17">
        <f>IF(A93="","",(Calculator!$B$11+C93)*Calculator!$B$5)</f>
        <v/>
      </c>
      <c r="E93" s="12">
        <f>IF(A93="","",IF(Calculator!$B$17=1,ROUNDUP(D93*Calculator!$B$8/3600/Calculator!$B$24-0.000000001,0),D93*Calculator!$B$8/3600/Calculator!$B$24))</f>
        <v/>
      </c>
      <c r="F93" s="16">
        <f>IF(A93="","",IF(Calculator!$B$16=1,Calculator!$B$27,A93)*Calculator!$B$5*Calculator!$B$15)</f>
        <v/>
      </c>
      <c r="G93" s="16">
        <f>IF(A93="","",E93*Calculator!$B$6+Calculator!$C$37+F93+Calculator!$B$30)</f>
        <v/>
      </c>
      <c r="H93" s="16">
        <f>IF(A93="","",Calculator!$B$40-G93)</f>
        <v/>
      </c>
      <c r="I93" s="17">
        <f>IF(A93="","",A93*Calculator!$B$5*Calculator!$B$8/3600)</f>
        <v/>
      </c>
      <c r="J93" s="12">
        <f>IF(A93="","",Calculator!$B$35-E93)</f>
        <v/>
      </c>
    </row>
    <row r="94">
      <c r="A94" s="15">
        <f>IF(92/1000&lt;=Calculator!$B$27+0.0000001,92/1000,"")</f>
        <v/>
      </c>
      <c r="B94" s="15">
        <f>IF(A94="","",A94/Calculator!$B$27)</f>
        <v/>
      </c>
      <c r="C94" s="15">
        <f>IF(A94="","",Calculator!$B$27-A94)</f>
        <v/>
      </c>
      <c r="D94" s="17">
        <f>IF(A94="","",(Calculator!$B$11+C94)*Calculator!$B$5)</f>
        <v/>
      </c>
      <c r="E94" s="12">
        <f>IF(A94="","",IF(Calculator!$B$17=1,ROUNDUP(D94*Calculator!$B$8/3600/Calculator!$B$24-0.000000001,0),D94*Calculator!$B$8/3600/Calculator!$B$24))</f>
        <v/>
      </c>
      <c r="F94" s="16">
        <f>IF(A94="","",IF(Calculator!$B$16=1,Calculator!$B$27,A94)*Calculator!$B$5*Calculator!$B$15)</f>
        <v/>
      </c>
      <c r="G94" s="16">
        <f>IF(A94="","",E94*Calculator!$B$6+Calculator!$C$37+F94+Calculator!$B$30)</f>
        <v/>
      </c>
      <c r="H94" s="16">
        <f>IF(A94="","",Calculator!$B$40-G94)</f>
        <v/>
      </c>
      <c r="I94" s="17">
        <f>IF(A94="","",A94*Calculator!$B$5*Calculator!$B$8/3600)</f>
        <v/>
      </c>
      <c r="J94" s="12">
        <f>IF(A94="","",Calculator!$B$35-E94)</f>
        <v/>
      </c>
    </row>
    <row r="95">
      <c r="A95" s="15">
        <f>IF(93/1000&lt;=Calculator!$B$27+0.0000001,93/1000,"")</f>
        <v/>
      </c>
      <c r="B95" s="15">
        <f>IF(A95="","",A95/Calculator!$B$27)</f>
        <v/>
      </c>
      <c r="C95" s="15">
        <f>IF(A95="","",Calculator!$B$27-A95)</f>
        <v/>
      </c>
      <c r="D95" s="17">
        <f>IF(A95="","",(Calculator!$B$11+C95)*Calculator!$B$5)</f>
        <v/>
      </c>
      <c r="E95" s="12">
        <f>IF(A95="","",IF(Calculator!$B$17=1,ROUNDUP(D95*Calculator!$B$8/3600/Calculator!$B$24-0.000000001,0),D95*Calculator!$B$8/3600/Calculator!$B$24))</f>
        <v/>
      </c>
      <c r="F95" s="16">
        <f>IF(A95="","",IF(Calculator!$B$16=1,Calculator!$B$27,A95)*Calculator!$B$5*Calculator!$B$15)</f>
        <v/>
      </c>
      <c r="G95" s="16">
        <f>IF(A95="","",E95*Calculator!$B$6+Calculator!$C$37+F95+Calculator!$B$30)</f>
        <v/>
      </c>
      <c r="H95" s="16">
        <f>IF(A95="","",Calculator!$B$40-G95)</f>
        <v/>
      </c>
      <c r="I95" s="17">
        <f>IF(A95="","",A95*Calculator!$B$5*Calculator!$B$8/3600)</f>
        <v/>
      </c>
      <c r="J95" s="12">
        <f>IF(A95="","",Calculator!$B$35-E95)</f>
        <v/>
      </c>
    </row>
    <row r="96">
      <c r="A96" s="15">
        <f>IF(94/1000&lt;=Calculator!$B$27+0.0000001,94/1000,"")</f>
        <v/>
      </c>
      <c r="B96" s="15">
        <f>IF(A96="","",A96/Calculator!$B$27)</f>
        <v/>
      </c>
      <c r="C96" s="15">
        <f>IF(A96="","",Calculator!$B$27-A96)</f>
        <v/>
      </c>
      <c r="D96" s="17">
        <f>IF(A96="","",(Calculator!$B$11+C96)*Calculator!$B$5)</f>
        <v/>
      </c>
      <c r="E96" s="12">
        <f>IF(A96="","",IF(Calculator!$B$17=1,ROUNDUP(D96*Calculator!$B$8/3600/Calculator!$B$24-0.000000001,0),D96*Calculator!$B$8/3600/Calculator!$B$24))</f>
        <v/>
      </c>
      <c r="F96" s="16">
        <f>IF(A96="","",IF(Calculator!$B$16=1,Calculator!$B$27,A96)*Calculator!$B$5*Calculator!$B$15)</f>
        <v/>
      </c>
      <c r="G96" s="16">
        <f>IF(A96="","",E96*Calculator!$B$6+Calculator!$C$37+F96+Calculator!$B$30)</f>
        <v/>
      </c>
      <c r="H96" s="16">
        <f>IF(A96="","",Calculator!$B$40-G96)</f>
        <v/>
      </c>
      <c r="I96" s="17">
        <f>IF(A96="","",A96*Calculator!$B$5*Calculator!$B$8/3600)</f>
        <v/>
      </c>
      <c r="J96" s="12">
        <f>IF(A96="","",Calculator!$B$35-E96)</f>
        <v/>
      </c>
    </row>
    <row r="97">
      <c r="A97" s="15">
        <f>IF(95/1000&lt;=Calculator!$B$27+0.0000001,95/1000,"")</f>
        <v/>
      </c>
      <c r="B97" s="15">
        <f>IF(A97="","",A97/Calculator!$B$27)</f>
        <v/>
      </c>
      <c r="C97" s="15">
        <f>IF(A97="","",Calculator!$B$27-A97)</f>
        <v/>
      </c>
      <c r="D97" s="17">
        <f>IF(A97="","",(Calculator!$B$11+C97)*Calculator!$B$5)</f>
        <v/>
      </c>
      <c r="E97" s="12">
        <f>IF(A97="","",IF(Calculator!$B$17=1,ROUNDUP(D97*Calculator!$B$8/3600/Calculator!$B$24-0.000000001,0),D97*Calculator!$B$8/3600/Calculator!$B$24))</f>
        <v/>
      </c>
      <c r="F97" s="16">
        <f>IF(A97="","",IF(Calculator!$B$16=1,Calculator!$B$27,A97)*Calculator!$B$5*Calculator!$B$15)</f>
        <v/>
      </c>
      <c r="G97" s="16">
        <f>IF(A97="","",E97*Calculator!$B$6+Calculator!$C$37+F97+Calculator!$B$30)</f>
        <v/>
      </c>
      <c r="H97" s="16">
        <f>IF(A97="","",Calculator!$B$40-G97)</f>
        <v/>
      </c>
      <c r="I97" s="17">
        <f>IF(A97="","",A97*Calculator!$B$5*Calculator!$B$8/3600)</f>
        <v/>
      </c>
      <c r="J97" s="12">
        <f>IF(A97="","",Calculator!$B$35-E97)</f>
        <v/>
      </c>
    </row>
    <row r="98">
      <c r="A98" s="15">
        <f>IF(96/1000&lt;=Calculator!$B$27+0.0000001,96/1000,"")</f>
        <v/>
      </c>
      <c r="B98" s="15">
        <f>IF(A98="","",A98/Calculator!$B$27)</f>
        <v/>
      </c>
      <c r="C98" s="15">
        <f>IF(A98="","",Calculator!$B$27-A98)</f>
        <v/>
      </c>
      <c r="D98" s="17">
        <f>IF(A98="","",(Calculator!$B$11+C98)*Calculator!$B$5)</f>
        <v/>
      </c>
      <c r="E98" s="12">
        <f>IF(A98="","",IF(Calculator!$B$17=1,ROUNDUP(D98*Calculator!$B$8/3600/Calculator!$B$24-0.000000001,0),D98*Calculator!$B$8/3600/Calculator!$B$24))</f>
        <v/>
      </c>
      <c r="F98" s="16">
        <f>IF(A98="","",IF(Calculator!$B$16=1,Calculator!$B$27,A98)*Calculator!$B$5*Calculator!$B$15)</f>
        <v/>
      </c>
      <c r="G98" s="16">
        <f>IF(A98="","",E98*Calculator!$B$6+Calculator!$C$37+F98+Calculator!$B$30)</f>
        <v/>
      </c>
      <c r="H98" s="16">
        <f>IF(A98="","",Calculator!$B$40-G98)</f>
        <v/>
      </c>
      <c r="I98" s="17">
        <f>IF(A98="","",A98*Calculator!$B$5*Calculator!$B$8/3600)</f>
        <v/>
      </c>
      <c r="J98" s="12">
        <f>IF(A98="","",Calculator!$B$35-E98)</f>
        <v/>
      </c>
    </row>
    <row r="99">
      <c r="A99" s="15">
        <f>IF(97/1000&lt;=Calculator!$B$27+0.0000001,97/1000,"")</f>
        <v/>
      </c>
      <c r="B99" s="15">
        <f>IF(A99="","",A99/Calculator!$B$27)</f>
        <v/>
      </c>
      <c r="C99" s="15">
        <f>IF(A99="","",Calculator!$B$27-A99)</f>
        <v/>
      </c>
      <c r="D99" s="17">
        <f>IF(A99="","",(Calculator!$B$11+C99)*Calculator!$B$5)</f>
        <v/>
      </c>
      <c r="E99" s="12">
        <f>IF(A99="","",IF(Calculator!$B$17=1,ROUNDUP(D99*Calculator!$B$8/3600/Calculator!$B$24-0.000000001,0),D99*Calculator!$B$8/3600/Calculator!$B$24))</f>
        <v/>
      </c>
      <c r="F99" s="16">
        <f>IF(A99="","",IF(Calculator!$B$16=1,Calculator!$B$27,A99)*Calculator!$B$5*Calculator!$B$15)</f>
        <v/>
      </c>
      <c r="G99" s="16">
        <f>IF(A99="","",E99*Calculator!$B$6+Calculator!$C$37+F99+Calculator!$B$30)</f>
        <v/>
      </c>
      <c r="H99" s="16">
        <f>IF(A99="","",Calculator!$B$40-G99)</f>
        <v/>
      </c>
      <c r="I99" s="17">
        <f>IF(A99="","",A99*Calculator!$B$5*Calculator!$B$8/3600)</f>
        <v/>
      </c>
      <c r="J99" s="12">
        <f>IF(A99="","",Calculator!$B$35-E99)</f>
        <v/>
      </c>
    </row>
    <row r="100">
      <c r="A100" s="15">
        <f>IF(98/1000&lt;=Calculator!$B$27+0.0000001,98/1000,"")</f>
        <v/>
      </c>
      <c r="B100" s="15">
        <f>IF(A100="","",A100/Calculator!$B$27)</f>
        <v/>
      </c>
      <c r="C100" s="15">
        <f>IF(A100="","",Calculator!$B$27-A100)</f>
        <v/>
      </c>
      <c r="D100" s="17">
        <f>IF(A100="","",(Calculator!$B$11+C100)*Calculator!$B$5)</f>
        <v/>
      </c>
      <c r="E100" s="12">
        <f>IF(A100="","",IF(Calculator!$B$17=1,ROUNDUP(D100*Calculator!$B$8/3600/Calculator!$B$24-0.000000001,0),D100*Calculator!$B$8/3600/Calculator!$B$24))</f>
        <v/>
      </c>
      <c r="F100" s="16">
        <f>IF(A100="","",IF(Calculator!$B$16=1,Calculator!$B$27,A100)*Calculator!$B$5*Calculator!$B$15)</f>
        <v/>
      </c>
      <c r="G100" s="16">
        <f>IF(A100="","",E100*Calculator!$B$6+Calculator!$C$37+F100+Calculator!$B$30)</f>
        <v/>
      </c>
      <c r="H100" s="16">
        <f>IF(A100="","",Calculator!$B$40-G100)</f>
        <v/>
      </c>
      <c r="I100" s="17">
        <f>IF(A100="","",A100*Calculator!$B$5*Calculator!$B$8/3600)</f>
        <v/>
      </c>
      <c r="J100" s="12">
        <f>IF(A100="","",Calculator!$B$35-E100)</f>
        <v/>
      </c>
    </row>
    <row r="101">
      <c r="A101" s="15">
        <f>IF(99/1000&lt;=Calculator!$B$27+0.0000001,99/1000,"")</f>
        <v/>
      </c>
      <c r="B101" s="15">
        <f>IF(A101="","",A101/Calculator!$B$27)</f>
        <v/>
      </c>
      <c r="C101" s="15">
        <f>IF(A101="","",Calculator!$B$27-A101)</f>
        <v/>
      </c>
      <c r="D101" s="17">
        <f>IF(A101="","",(Calculator!$B$11+C101)*Calculator!$B$5)</f>
        <v/>
      </c>
      <c r="E101" s="12">
        <f>IF(A101="","",IF(Calculator!$B$17=1,ROUNDUP(D101*Calculator!$B$8/3600/Calculator!$B$24-0.000000001,0),D101*Calculator!$B$8/3600/Calculator!$B$24))</f>
        <v/>
      </c>
      <c r="F101" s="16">
        <f>IF(A101="","",IF(Calculator!$B$16=1,Calculator!$B$27,A101)*Calculator!$B$5*Calculator!$B$15)</f>
        <v/>
      </c>
      <c r="G101" s="16">
        <f>IF(A101="","",E101*Calculator!$B$6+Calculator!$C$37+F101+Calculator!$B$30)</f>
        <v/>
      </c>
      <c r="H101" s="16">
        <f>IF(A101="","",Calculator!$B$40-G101)</f>
        <v/>
      </c>
      <c r="I101" s="17">
        <f>IF(A101="","",A101*Calculator!$B$5*Calculator!$B$8/3600)</f>
        <v/>
      </c>
      <c r="J101" s="12">
        <f>IF(A101="","",Calculator!$B$35-E101)</f>
        <v/>
      </c>
    </row>
    <row r="102">
      <c r="A102" s="15">
        <f>IF(100/1000&lt;=Calculator!$B$27+0.0000001,100/1000,"")</f>
        <v/>
      </c>
      <c r="B102" s="15">
        <f>IF(A102="","",A102/Calculator!$B$27)</f>
        <v/>
      </c>
      <c r="C102" s="15">
        <f>IF(A102="","",Calculator!$B$27-A102)</f>
        <v/>
      </c>
      <c r="D102" s="17">
        <f>IF(A102="","",(Calculator!$B$11+C102)*Calculator!$B$5)</f>
        <v/>
      </c>
      <c r="E102" s="12">
        <f>IF(A102="","",IF(Calculator!$B$17=1,ROUNDUP(D102*Calculator!$B$8/3600/Calculator!$B$24-0.000000001,0),D102*Calculator!$B$8/3600/Calculator!$B$24))</f>
        <v/>
      </c>
      <c r="F102" s="16">
        <f>IF(A102="","",IF(Calculator!$B$16=1,Calculator!$B$27,A102)*Calculator!$B$5*Calculator!$B$15)</f>
        <v/>
      </c>
      <c r="G102" s="16">
        <f>IF(A102="","",E102*Calculator!$B$6+Calculator!$C$37+F102+Calculator!$B$30)</f>
        <v/>
      </c>
      <c r="H102" s="16">
        <f>IF(A102="","",Calculator!$B$40-G102)</f>
        <v/>
      </c>
      <c r="I102" s="17">
        <f>IF(A102="","",A102*Calculator!$B$5*Calculator!$B$8/3600)</f>
        <v/>
      </c>
      <c r="J102" s="12">
        <f>IF(A102="","",Calculator!$B$35-E102)</f>
        <v/>
      </c>
    </row>
    <row r="103">
      <c r="A103" s="15">
        <f>IF(101/1000&lt;=Calculator!$B$27+0.0000001,101/1000,"")</f>
        <v/>
      </c>
      <c r="B103" s="15">
        <f>IF(A103="","",A103/Calculator!$B$27)</f>
        <v/>
      </c>
      <c r="C103" s="15">
        <f>IF(A103="","",Calculator!$B$27-A103)</f>
        <v/>
      </c>
      <c r="D103" s="17">
        <f>IF(A103="","",(Calculator!$B$11+C103)*Calculator!$B$5)</f>
        <v/>
      </c>
      <c r="E103" s="12">
        <f>IF(A103="","",IF(Calculator!$B$17=1,ROUNDUP(D103*Calculator!$B$8/3600/Calculator!$B$24-0.000000001,0),D103*Calculator!$B$8/3600/Calculator!$B$24))</f>
        <v/>
      </c>
      <c r="F103" s="16">
        <f>IF(A103="","",IF(Calculator!$B$16=1,Calculator!$B$27,A103)*Calculator!$B$5*Calculator!$B$15)</f>
        <v/>
      </c>
      <c r="G103" s="16">
        <f>IF(A103="","",E103*Calculator!$B$6+Calculator!$C$37+F103+Calculator!$B$30)</f>
        <v/>
      </c>
      <c r="H103" s="16">
        <f>IF(A103="","",Calculator!$B$40-G103)</f>
        <v/>
      </c>
      <c r="I103" s="17">
        <f>IF(A103="","",A103*Calculator!$B$5*Calculator!$B$8/3600)</f>
        <v/>
      </c>
      <c r="J103" s="12">
        <f>IF(A103="","",Calculator!$B$35-E103)</f>
        <v/>
      </c>
    </row>
    <row r="104">
      <c r="A104" s="15">
        <f>IF(102/1000&lt;=Calculator!$B$27+0.0000001,102/1000,"")</f>
        <v/>
      </c>
      <c r="B104" s="15">
        <f>IF(A104="","",A104/Calculator!$B$27)</f>
        <v/>
      </c>
      <c r="C104" s="15">
        <f>IF(A104="","",Calculator!$B$27-A104)</f>
        <v/>
      </c>
      <c r="D104" s="17">
        <f>IF(A104="","",(Calculator!$B$11+C104)*Calculator!$B$5)</f>
        <v/>
      </c>
      <c r="E104" s="12">
        <f>IF(A104="","",IF(Calculator!$B$17=1,ROUNDUP(D104*Calculator!$B$8/3600/Calculator!$B$24-0.000000001,0),D104*Calculator!$B$8/3600/Calculator!$B$24))</f>
        <v/>
      </c>
      <c r="F104" s="16">
        <f>IF(A104="","",IF(Calculator!$B$16=1,Calculator!$B$27,A104)*Calculator!$B$5*Calculator!$B$15)</f>
        <v/>
      </c>
      <c r="G104" s="16">
        <f>IF(A104="","",E104*Calculator!$B$6+Calculator!$C$37+F104+Calculator!$B$30)</f>
        <v/>
      </c>
      <c r="H104" s="16">
        <f>IF(A104="","",Calculator!$B$40-G104)</f>
        <v/>
      </c>
      <c r="I104" s="17">
        <f>IF(A104="","",A104*Calculator!$B$5*Calculator!$B$8/3600)</f>
        <v/>
      </c>
      <c r="J104" s="12">
        <f>IF(A104="","",Calculator!$B$35-E104)</f>
        <v/>
      </c>
    </row>
    <row r="105">
      <c r="A105" s="15">
        <f>IF(103/1000&lt;=Calculator!$B$27+0.0000001,103/1000,"")</f>
        <v/>
      </c>
      <c r="B105" s="15">
        <f>IF(A105="","",A105/Calculator!$B$27)</f>
        <v/>
      </c>
      <c r="C105" s="15">
        <f>IF(A105="","",Calculator!$B$27-A105)</f>
        <v/>
      </c>
      <c r="D105" s="17">
        <f>IF(A105="","",(Calculator!$B$11+C105)*Calculator!$B$5)</f>
        <v/>
      </c>
      <c r="E105" s="12">
        <f>IF(A105="","",IF(Calculator!$B$17=1,ROUNDUP(D105*Calculator!$B$8/3600/Calculator!$B$24-0.000000001,0),D105*Calculator!$B$8/3600/Calculator!$B$24))</f>
        <v/>
      </c>
      <c r="F105" s="16">
        <f>IF(A105="","",IF(Calculator!$B$16=1,Calculator!$B$27,A105)*Calculator!$B$5*Calculator!$B$15)</f>
        <v/>
      </c>
      <c r="G105" s="16">
        <f>IF(A105="","",E105*Calculator!$B$6+Calculator!$C$37+F105+Calculator!$B$30)</f>
        <v/>
      </c>
      <c r="H105" s="16">
        <f>IF(A105="","",Calculator!$B$40-G105)</f>
        <v/>
      </c>
      <c r="I105" s="17">
        <f>IF(A105="","",A105*Calculator!$B$5*Calculator!$B$8/3600)</f>
        <v/>
      </c>
      <c r="J105" s="12">
        <f>IF(A105="","",Calculator!$B$35-E105)</f>
        <v/>
      </c>
    </row>
    <row r="106">
      <c r="A106" s="15">
        <f>IF(104/1000&lt;=Calculator!$B$27+0.0000001,104/1000,"")</f>
        <v/>
      </c>
      <c r="B106" s="15">
        <f>IF(A106="","",A106/Calculator!$B$27)</f>
        <v/>
      </c>
      <c r="C106" s="15">
        <f>IF(A106="","",Calculator!$B$27-A106)</f>
        <v/>
      </c>
      <c r="D106" s="17">
        <f>IF(A106="","",(Calculator!$B$11+C106)*Calculator!$B$5)</f>
        <v/>
      </c>
      <c r="E106" s="12">
        <f>IF(A106="","",IF(Calculator!$B$17=1,ROUNDUP(D106*Calculator!$B$8/3600/Calculator!$B$24-0.000000001,0),D106*Calculator!$B$8/3600/Calculator!$B$24))</f>
        <v/>
      </c>
      <c r="F106" s="16">
        <f>IF(A106="","",IF(Calculator!$B$16=1,Calculator!$B$27,A106)*Calculator!$B$5*Calculator!$B$15)</f>
        <v/>
      </c>
      <c r="G106" s="16">
        <f>IF(A106="","",E106*Calculator!$B$6+Calculator!$C$37+F106+Calculator!$B$30)</f>
        <v/>
      </c>
      <c r="H106" s="16">
        <f>IF(A106="","",Calculator!$B$40-G106)</f>
        <v/>
      </c>
      <c r="I106" s="17">
        <f>IF(A106="","",A106*Calculator!$B$5*Calculator!$B$8/3600)</f>
        <v/>
      </c>
      <c r="J106" s="12">
        <f>IF(A106="","",Calculator!$B$35-E106)</f>
        <v/>
      </c>
    </row>
    <row r="107">
      <c r="A107" s="15">
        <f>IF(105/1000&lt;=Calculator!$B$27+0.0000001,105/1000,"")</f>
        <v/>
      </c>
      <c r="B107" s="15">
        <f>IF(A107="","",A107/Calculator!$B$27)</f>
        <v/>
      </c>
      <c r="C107" s="15">
        <f>IF(A107="","",Calculator!$B$27-A107)</f>
        <v/>
      </c>
      <c r="D107" s="17">
        <f>IF(A107="","",(Calculator!$B$11+C107)*Calculator!$B$5)</f>
        <v/>
      </c>
      <c r="E107" s="12">
        <f>IF(A107="","",IF(Calculator!$B$17=1,ROUNDUP(D107*Calculator!$B$8/3600/Calculator!$B$24-0.000000001,0),D107*Calculator!$B$8/3600/Calculator!$B$24))</f>
        <v/>
      </c>
      <c r="F107" s="16">
        <f>IF(A107="","",IF(Calculator!$B$16=1,Calculator!$B$27,A107)*Calculator!$B$5*Calculator!$B$15)</f>
        <v/>
      </c>
      <c r="G107" s="16">
        <f>IF(A107="","",E107*Calculator!$B$6+Calculator!$C$37+F107+Calculator!$B$30)</f>
        <v/>
      </c>
      <c r="H107" s="16">
        <f>IF(A107="","",Calculator!$B$40-G107)</f>
        <v/>
      </c>
      <c r="I107" s="17">
        <f>IF(A107="","",A107*Calculator!$B$5*Calculator!$B$8/3600)</f>
        <v/>
      </c>
      <c r="J107" s="12">
        <f>IF(A107="","",Calculator!$B$35-E107)</f>
        <v/>
      </c>
    </row>
    <row r="108">
      <c r="A108" s="15">
        <f>IF(106/1000&lt;=Calculator!$B$27+0.0000001,106/1000,"")</f>
        <v/>
      </c>
      <c r="B108" s="15">
        <f>IF(A108="","",A108/Calculator!$B$27)</f>
        <v/>
      </c>
      <c r="C108" s="15">
        <f>IF(A108="","",Calculator!$B$27-A108)</f>
        <v/>
      </c>
      <c r="D108" s="17">
        <f>IF(A108="","",(Calculator!$B$11+C108)*Calculator!$B$5)</f>
        <v/>
      </c>
      <c r="E108" s="12">
        <f>IF(A108="","",IF(Calculator!$B$17=1,ROUNDUP(D108*Calculator!$B$8/3600/Calculator!$B$24-0.000000001,0),D108*Calculator!$B$8/3600/Calculator!$B$24))</f>
        <v/>
      </c>
      <c r="F108" s="16">
        <f>IF(A108="","",IF(Calculator!$B$16=1,Calculator!$B$27,A108)*Calculator!$B$5*Calculator!$B$15)</f>
        <v/>
      </c>
      <c r="G108" s="16">
        <f>IF(A108="","",E108*Calculator!$B$6+Calculator!$C$37+F108+Calculator!$B$30)</f>
        <v/>
      </c>
      <c r="H108" s="16">
        <f>IF(A108="","",Calculator!$B$40-G108)</f>
        <v/>
      </c>
      <c r="I108" s="17">
        <f>IF(A108="","",A108*Calculator!$B$5*Calculator!$B$8/3600)</f>
        <v/>
      </c>
      <c r="J108" s="12">
        <f>IF(A108="","",Calculator!$B$35-E108)</f>
        <v/>
      </c>
    </row>
    <row r="109">
      <c r="A109" s="15">
        <f>IF(107/1000&lt;=Calculator!$B$27+0.0000001,107/1000,"")</f>
        <v/>
      </c>
      <c r="B109" s="15">
        <f>IF(A109="","",A109/Calculator!$B$27)</f>
        <v/>
      </c>
      <c r="C109" s="15">
        <f>IF(A109="","",Calculator!$B$27-A109)</f>
        <v/>
      </c>
      <c r="D109" s="17">
        <f>IF(A109="","",(Calculator!$B$11+C109)*Calculator!$B$5)</f>
        <v/>
      </c>
      <c r="E109" s="12">
        <f>IF(A109="","",IF(Calculator!$B$17=1,ROUNDUP(D109*Calculator!$B$8/3600/Calculator!$B$24-0.000000001,0),D109*Calculator!$B$8/3600/Calculator!$B$24))</f>
        <v/>
      </c>
      <c r="F109" s="16">
        <f>IF(A109="","",IF(Calculator!$B$16=1,Calculator!$B$27,A109)*Calculator!$B$5*Calculator!$B$15)</f>
        <v/>
      </c>
      <c r="G109" s="16">
        <f>IF(A109="","",E109*Calculator!$B$6+Calculator!$C$37+F109+Calculator!$B$30)</f>
        <v/>
      </c>
      <c r="H109" s="16">
        <f>IF(A109="","",Calculator!$B$40-G109)</f>
        <v/>
      </c>
      <c r="I109" s="17">
        <f>IF(A109="","",A109*Calculator!$B$5*Calculator!$B$8/3600)</f>
        <v/>
      </c>
      <c r="J109" s="12">
        <f>IF(A109="","",Calculator!$B$35-E109)</f>
        <v/>
      </c>
    </row>
    <row r="110">
      <c r="A110" s="15">
        <f>IF(108/1000&lt;=Calculator!$B$27+0.0000001,108/1000,"")</f>
        <v/>
      </c>
      <c r="B110" s="15">
        <f>IF(A110="","",A110/Calculator!$B$27)</f>
        <v/>
      </c>
      <c r="C110" s="15">
        <f>IF(A110="","",Calculator!$B$27-A110)</f>
        <v/>
      </c>
      <c r="D110" s="17">
        <f>IF(A110="","",(Calculator!$B$11+C110)*Calculator!$B$5)</f>
        <v/>
      </c>
      <c r="E110" s="12">
        <f>IF(A110="","",IF(Calculator!$B$17=1,ROUNDUP(D110*Calculator!$B$8/3600/Calculator!$B$24-0.000000001,0),D110*Calculator!$B$8/3600/Calculator!$B$24))</f>
        <v/>
      </c>
      <c r="F110" s="16">
        <f>IF(A110="","",IF(Calculator!$B$16=1,Calculator!$B$27,A110)*Calculator!$B$5*Calculator!$B$15)</f>
        <v/>
      </c>
      <c r="G110" s="16">
        <f>IF(A110="","",E110*Calculator!$B$6+Calculator!$C$37+F110+Calculator!$B$30)</f>
        <v/>
      </c>
      <c r="H110" s="16">
        <f>IF(A110="","",Calculator!$B$40-G110)</f>
        <v/>
      </c>
      <c r="I110" s="17">
        <f>IF(A110="","",A110*Calculator!$B$5*Calculator!$B$8/3600)</f>
        <v/>
      </c>
      <c r="J110" s="12">
        <f>IF(A110="","",Calculator!$B$35-E110)</f>
        <v/>
      </c>
    </row>
    <row r="111">
      <c r="A111" s="15">
        <f>IF(109/1000&lt;=Calculator!$B$27+0.0000001,109/1000,"")</f>
        <v/>
      </c>
      <c r="B111" s="15">
        <f>IF(A111="","",A111/Calculator!$B$27)</f>
        <v/>
      </c>
      <c r="C111" s="15">
        <f>IF(A111="","",Calculator!$B$27-A111)</f>
        <v/>
      </c>
      <c r="D111" s="17">
        <f>IF(A111="","",(Calculator!$B$11+C111)*Calculator!$B$5)</f>
        <v/>
      </c>
      <c r="E111" s="12">
        <f>IF(A111="","",IF(Calculator!$B$17=1,ROUNDUP(D111*Calculator!$B$8/3600/Calculator!$B$24-0.000000001,0),D111*Calculator!$B$8/3600/Calculator!$B$24))</f>
        <v/>
      </c>
      <c r="F111" s="16">
        <f>IF(A111="","",IF(Calculator!$B$16=1,Calculator!$B$27,A111)*Calculator!$B$5*Calculator!$B$15)</f>
        <v/>
      </c>
      <c r="G111" s="16">
        <f>IF(A111="","",E111*Calculator!$B$6+Calculator!$C$37+F111+Calculator!$B$30)</f>
        <v/>
      </c>
      <c r="H111" s="16">
        <f>IF(A111="","",Calculator!$B$40-G111)</f>
        <v/>
      </c>
      <c r="I111" s="17">
        <f>IF(A111="","",A111*Calculator!$B$5*Calculator!$B$8/3600)</f>
        <v/>
      </c>
      <c r="J111" s="12">
        <f>IF(A111="","",Calculator!$B$35-E111)</f>
        <v/>
      </c>
    </row>
    <row r="112">
      <c r="A112" s="15">
        <f>IF(110/1000&lt;=Calculator!$B$27+0.0000001,110/1000,"")</f>
        <v/>
      </c>
      <c r="B112" s="15">
        <f>IF(A112="","",A112/Calculator!$B$27)</f>
        <v/>
      </c>
      <c r="C112" s="15">
        <f>IF(A112="","",Calculator!$B$27-A112)</f>
        <v/>
      </c>
      <c r="D112" s="17">
        <f>IF(A112="","",(Calculator!$B$11+C112)*Calculator!$B$5)</f>
        <v/>
      </c>
      <c r="E112" s="12">
        <f>IF(A112="","",IF(Calculator!$B$17=1,ROUNDUP(D112*Calculator!$B$8/3600/Calculator!$B$24-0.000000001,0),D112*Calculator!$B$8/3600/Calculator!$B$24))</f>
        <v/>
      </c>
      <c r="F112" s="16">
        <f>IF(A112="","",IF(Calculator!$B$16=1,Calculator!$B$27,A112)*Calculator!$B$5*Calculator!$B$15)</f>
        <v/>
      </c>
      <c r="G112" s="16">
        <f>IF(A112="","",E112*Calculator!$B$6+Calculator!$C$37+F112+Calculator!$B$30)</f>
        <v/>
      </c>
      <c r="H112" s="16">
        <f>IF(A112="","",Calculator!$B$40-G112)</f>
        <v/>
      </c>
      <c r="I112" s="17">
        <f>IF(A112="","",A112*Calculator!$B$5*Calculator!$B$8/3600)</f>
        <v/>
      </c>
      <c r="J112" s="12">
        <f>IF(A112="","",Calculator!$B$35-E112)</f>
        <v/>
      </c>
    </row>
    <row r="113">
      <c r="A113" s="15">
        <f>IF(111/1000&lt;=Calculator!$B$27+0.0000001,111/1000,"")</f>
        <v/>
      </c>
      <c r="B113" s="15">
        <f>IF(A113="","",A113/Calculator!$B$27)</f>
        <v/>
      </c>
      <c r="C113" s="15">
        <f>IF(A113="","",Calculator!$B$27-A113)</f>
        <v/>
      </c>
      <c r="D113" s="17">
        <f>IF(A113="","",(Calculator!$B$11+C113)*Calculator!$B$5)</f>
        <v/>
      </c>
      <c r="E113" s="12">
        <f>IF(A113="","",IF(Calculator!$B$17=1,ROUNDUP(D113*Calculator!$B$8/3600/Calculator!$B$24-0.000000001,0),D113*Calculator!$B$8/3600/Calculator!$B$24))</f>
        <v/>
      </c>
      <c r="F113" s="16">
        <f>IF(A113="","",IF(Calculator!$B$16=1,Calculator!$B$27,A113)*Calculator!$B$5*Calculator!$B$15)</f>
        <v/>
      </c>
      <c r="G113" s="16">
        <f>IF(A113="","",E113*Calculator!$B$6+Calculator!$C$37+F113+Calculator!$B$30)</f>
        <v/>
      </c>
      <c r="H113" s="16">
        <f>IF(A113="","",Calculator!$B$40-G113)</f>
        <v/>
      </c>
      <c r="I113" s="17">
        <f>IF(A113="","",A113*Calculator!$B$5*Calculator!$B$8/3600)</f>
        <v/>
      </c>
      <c r="J113" s="12">
        <f>IF(A113="","",Calculator!$B$35-E113)</f>
        <v/>
      </c>
    </row>
    <row r="114">
      <c r="A114" s="15">
        <f>IF(112/1000&lt;=Calculator!$B$27+0.0000001,112/1000,"")</f>
        <v/>
      </c>
      <c r="B114" s="15">
        <f>IF(A114="","",A114/Calculator!$B$27)</f>
        <v/>
      </c>
      <c r="C114" s="15">
        <f>IF(A114="","",Calculator!$B$27-A114)</f>
        <v/>
      </c>
      <c r="D114" s="17">
        <f>IF(A114="","",(Calculator!$B$11+C114)*Calculator!$B$5)</f>
        <v/>
      </c>
      <c r="E114" s="12">
        <f>IF(A114="","",IF(Calculator!$B$17=1,ROUNDUP(D114*Calculator!$B$8/3600/Calculator!$B$24-0.000000001,0),D114*Calculator!$B$8/3600/Calculator!$B$24))</f>
        <v/>
      </c>
      <c r="F114" s="16">
        <f>IF(A114="","",IF(Calculator!$B$16=1,Calculator!$B$27,A114)*Calculator!$B$5*Calculator!$B$15)</f>
        <v/>
      </c>
      <c r="G114" s="16">
        <f>IF(A114="","",E114*Calculator!$B$6+Calculator!$C$37+F114+Calculator!$B$30)</f>
        <v/>
      </c>
      <c r="H114" s="16">
        <f>IF(A114="","",Calculator!$B$40-G114)</f>
        <v/>
      </c>
      <c r="I114" s="17">
        <f>IF(A114="","",A114*Calculator!$B$5*Calculator!$B$8/3600)</f>
        <v/>
      </c>
      <c r="J114" s="12">
        <f>IF(A114="","",Calculator!$B$35-E114)</f>
        <v/>
      </c>
    </row>
    <row r="115">
      <c r="A115" s="15">
        <f>IF(113/1000&lt;=Calculator!$B$27+0.0000001,113/1000,"")</f>
        <v/>
      </c>
      <c r="B115" s="15">
        <f>IF(A115="","",A115/Calculator!$B$27)</f>
        <v/>
      </c>
      <c r="C115" s="15">
        <f>IF(A115="","",Calculator!$B$27-A115)</f>
        <v/>
      </c>
      <c r="D115" s="17">
        <f>IF(A115="","",(Calculator!$B$11+C115)*Calculator!$B$5)</f>
        <v/>
      </c>
      <c r="E115" s="12">
        <f>IF(A115="","",IF(Calculator!$B$17=1,ROUNDUP(D115*Calculator!$B$8/3600/Calculator!$B$24-0.000000001,0),D115*Calculator!$B$8/3600/Calculator!$B$24))</f>
        <v/>
      </c>
      <c r="F115" s="16">
        <f>IF(A115="","",IF(Calculator!$B$16=1,Calculator!$B$27,A115)*Calculator!$B$5*Calculator!$B$15)</f>
        <v/>
      </c>
      <c r="G115" s="16">
        <f>IF(A115="","",E115*Calculator!$B$6+Calculator!$C$37+F115+Calculator!$B$30)</f>
        <v/>
      </c>
      <c r="H115" s="16">
        <f>IF(A115="","",Calculator!$B$40-G115)</f>
        <v/>
      </c>
      <c r="I115" s="17">
        <f>IF(A115="","",A115*Calculator!$B$5*Calculator!$B$8/3600)</f>
        <v/>
      </c>
      <c r="J115" s="12">
        <f>IF(A115="","",Calculator!$B$35-E115)</f>
        <v/>
      </c>
    </row>
    <row r="116">
      <c r="A116" s="15">
        <f>IF(114/1000&lt;=Calculator!$B$27+0.0000001,114/1000,"")</f>
        <v/>
      </c>
      <c r="B116" s="15">
        <f>IF(A116="","",A116/Calculator!$B$27)</f>
        <v/>
      </c>
      <c r="C116" s="15">
        <f>IF(A116="","",Calculator!$B$27-A116)</f>
        <v/>
      </c>
      <c r="D116" s="17">
        <f>IF(A116="","",(Calculator!$B$11+C116)*Calculator!$B$5)</f>
        <v/>
      </c>
      <c r="E116" s="12">
        <f>IF(A116="","",IF(Calculator!$B$17=1,ROUNDUP(D116*Calculator!$B$8/3600/Calculator!$B$24-0.000000001,0),D116*Calculator!$B$8/3600/Calculator!$B$24))</f>
        <v/>
      </c>
      <c r="F116" s="16">
        <f>IF(A116="","",IF(Calculator!$B$16=1,Calculator!$B$27,A116)*Calculator!$B$5*Calculator!$B$15)</f>
        <v/>
      </c>
      <c r="G116" s="16">
        <f>IF(A116="","",E116*Calculator!$B$6+Calculator!$C$37+F116+Calculator!$B$30)</f>
        <v/>
      </c>
      <c r="H116" s="16">
        <f>IF(A116="","",Calculator!$B$40-G116)</f>
        <v/>
      </c>
      <c r="I116" s="17">
        <f>IF(A116="","",A116*Calculator!$B$5*Calculator!$B$8/3600)</f>
        <v/>
      </c>
      <c r="J116" s="12">
        <f>IF(A116="","",Calculator!$B$35-E116)</f>
        <v/>
      </c>
    </row>
    <row r="117">
      <c r="A117" s="15">
        <f>IF(115/1000&lt;=Calculator!$B$27+0.0000001,115/1000,"")</f>
        <v/>
      </c>
      <c r="B117" s="15">
        <f>IF(A117="","",A117/Calculator!$B$27)</f>
        <v/>
      </c>
      <c r="C117" s="15">
        <f>IF(A117="","",Calculator!$B$27-A117)</f>
        <v/>
      </c>
      <c r="D117" s="17">
        <f>IF(A117="","",(Calculator!$B$11+C117)*Calculator!$B$5)</f>
        <v/>
      </c>
      <c r="E117" s="12">
        <f>IF(A117="","",IF(Calculator!$B$17=1,ROUNDUP(D117*Calculator!$B$8/3600/Calculator!$B$24-0.000000001,0),D117*Calculator!$B$8/3600/Calculator!$B$24))</f>
        <v/>
      </c>
      <c r="F117" s="16">
        <f>IF(A117="","",IF(Calculator!$B$16=1,Calculator!$B$27,A117)*Calculator!$B$5*Calculator!$B$15)</f>
        <v/>
      </c>
      <c r="G117" s="16">
        <f>IF(A117="","",E117*Calculator!$B$6+Calculator!$C$37+F117+Calculator!$B$30)</f>
        <v/>
      </c>
      <c r="H117" s="16">
        <f>IF(A117="","",Calculator!$B$40-G117)</f>
        <v/>
      </c>
      <c r="I117" s="17">
        <f>IF(A117="","",A117*Calculator!$B$5*Calculator!$B$8/3600)</f>
        <v/>
      </c>
      <c r="J117" s="12">
        <f>IF(A117="","",Calculator!$B$35-E117)</f>
        <v/>
      </c>
    </row>
    <row r="118">
      <c r="A118" s="15">
        <f>IF(116/1000&lt;=Calculator!$B$27+0.0000001,116/1000,"")</f>
        <v/>
      </c>
      <c r="B118" s="15">
        <f>IF(A118="","",A118/Calculator!$B$27)</f>
        <v/>
      </c>
      <c r="C118" s="15">
        <f>IF(A118="","",Calculator!$B$27-A118)</f>
        <v/>
      </c>
      <c r="D118" s="17">
        <f>IF(A118="","",(Calculator!$B$11+C118)*Calculator!$B$5)</f>
        <v/>
      </c>
      <c r="E118" s="12">
        <f>IF(A118="","",IF(Calculator!$B$17=1,ROUNDUP(D118*Calculator!$B$8/3600/Calculator!$B$24-0.000000001,0),D118*Calculator!$B$8/3600/Calculator!$B$24))</f>
        <v/>
      </c>
      <c r="F118" s="16">
        <f>IF(A118="","",IF(Calculator!$B$16=1,Calculator!$B$27,A118)*Calculator!$B$5*Calculator!$B$15)</f>
        <v/>
      </c>
      <c r="G118" s="16">
        <f>IF(A118="","",E118*Calculator!$B$6+Calculator!$C$37+F118+Calculator!$B$30)</f>
        <v/>
      </c>
      <c r="H118" s="16">
        <f>IF(A118="","",Calculator!$B$40-G118)</f>
        <v/>
      </c>
      <c r="I118" s="17">
        <f>IF(A118="","",A118*Calculator!$B$5*Calculator!$B$8/3600)</f>
        <v/>
      </c>
      <c r="J118" s="12">
        <f>IF(A118="","",Calculator!$B$35-E118)</f>
        <v/>
      </c>
    </row>
    <row r="119">
      <c r="A119" s="15">
        <f>IF(117/1000&lt;=Calculator!$B$27+0.0000001,117/1000,"")</f>
        <v/>
      </c>
      <c r="B119" s="15">
        <f>IF(A119="","",A119/Calculator!$B$27)</f>
        <v/>
      </c>
      <c r="C119" s="15">
        <f>IF(A119="","",Calculator!$B$27-A119)</f>
        <v/>
      </c>
      <c r="D119" s="17">
        <f>IF(A119="","",(Calculator!$B$11+C119)*Calculator!$B$5)</f>
        <v/>
      </c>
      <c r="E119" s="12">
        <f>IF(A119="","",IF(Calculator!$B$17=1,ROUNDUP(D119*Calculator!$B$8/3600/Calculator!$B$24-0.000000001,0),D119*Calculator!$B$8/3600/Calculator!$B$24))</f>
        <v/>
      </c>
      <c r="F119" s="16">
        <f>IF(A119="","",IF(Calculator!$B$16=1,Calculator!$B$27,A119)*Calculator!$B$5*Calculator!$B$15)</f>
        <v/>
      </c>
      <c r="G119" s="16">
        <f>IF(A119="","",E119*Calculator!$B$6+Calculator!$C$37+F119+Calculator!$B$30)</f>
        <v/>
      </c>
      <c r="H119" s="16">
        <f>IF(A119="","",Calculator!$B$40-G119)</f>
        <v/>
      </c>
      <c r="I119" s="17">
        <f>IF(A119="","",A119*Calculator!$B$5*Calculator!$B$8/3600)</f>
        <v/>
      </c>
      <c r="J119" s="12">
        <f>IF(A119="","",Calculator!$B$35-E119)</f>
        <v/>
      </c>
    </row>
    <row r="120">
      <c r="A120" s="15">
        <f>IF(118/1000&lt;=Calculator!$B$27+0.0000001,118/1000,"")</f>
        <v/>
      </c>
      <c r="B120" s="15">
        <f>IF(A120="","",A120/Calculator!$B$27)</f>
        <v/>
      </c>
      <c r="C120" s="15">
        <f>IF(A120="","",Calculator!$B$27-A120)</f>
        <v/>
      </c>
      <c r="D120" s="17">
        <f>IF(A120="","",(Calculator!$B$11+C120)*Calculator!$B$5)</f>
        <v/>
      </c>
      <c r="E120" s="12">
        <f>IF(A120="","",IF(Calculator!$B$17=1,ROUNDUP(D120*Calculator!$B$8/3600/Calculator!$B$24-0.000000001,0),D120*Calculator!$B$8/3600/Calculator!$B$24))</f>
        <v/>
      </c>
      <c r="F120" s="16">
        <f>IF(A120="","",IF(Calculator!$B$16=1,Calculator!$B$27,A120)*Calculator!$B$5*Calculator!$B$15)</f>
        <v/>
      </c>
      <c r="G120" s="16">
        <f>IF(A120="","",E120*Calculator!$B$6+Calculator!$C$37+F120+Calculator!$B$30)</f>
        <v/>
      </c>
      <c r="H120" s="16">
        <f>IF(A120="","",Calculator!$B$40-G120)</f>
        <v/>
      </c>
      <c r="I120" s="17">
        <f>IF(A120="","",A120*Calculator!$B$5*Calculator!$B$8/3600)</f>
        <v/>
      </c>
      <c r="J120" s="12">
        <f>IF(A120="","",Calculator!$B$35-E120)</f>
        <v/>
      </c>
    </row>
    <row r="121">
      <c r="A121" s="15">
        <f>IF(119/1000&lt;=Calculator!$B$27+0.0000001,119/1000,"")</f>
        <v/>
      </c>
      <c r="B121" s="15">
        <f>IF(A121="","",A121/Calculator!$B$27)</f>
        <v/>
      </c>
      <c r="C121" s="15">
        <f>IF(A121="","",Calculator!$B$27-A121)</f>
        <v/>
      </c>
      <c r="D121" s="17">
        <f>IF(A121="","",(Calculator!$B$11+C121)*Calculator!$B$5)</f>
        <v/>
      </c>
      <c r="E121" s="12">
        <f>IF(A121="","",IF(Calculator!$B$17=1,ROUNDUP(D121*Calculator!$B$8/3600/Calculator!$B$24-0.000000001,0),D121*Calculator!$B$8/3600/Calculator!$B$24))</f>
        <v/>
      </c>
      <c r="F121" s="16">
        <f>IF(A121="","",IF(Calculator!$B$16=1,Calculator!$B$27,A121)*Calculator!$B$5*Calculator!$B$15)</f>
        <v/>
      </c>
      <c r="G121" s="16">
        <f>IF(A121="","",E121*Calculator!$B$6+Calculator!$C$37+F121+Calculator!$B$30)</f>
        <v/>
      </c>
      <c r="H121" s="16">
        <f>IF(A121="","",Calculator!$B$40-G121)</f>
        <v/>
      </c>
      <c r="I121" s="17">
        <f>IF(A121="","",A121*Calculator!$B$5*Calculator!$B$8/3600)</f>
        <v/>
      </c>
      <c r="J121" s="12">
        <f>IF(A121="","",Calculator!$B$35-E121)</f>
        <v/>
      </c>
    </row>
    <row r="122">
      <c r="A122" s="15">
        <f>IF(120/1000&lt;=Calculator!$B$27+0.0000001,120/1000,"")</f>
        <v/>
      </c>
      <c r="B122" s="15">
        <f>IF(A122="","",A122/Calculator!$B$27)</f>
        <v/>
      </c>
      <c r="C122" s="15">
        <f>IF(A122="","",Calculator!$B$27-A122)</f>
        <v/>
      </c>
      <c r="D122" s="17">
        <f>IF(A122="","",(Calculator!$B$11+C122)*Calculator!$B$5)</f>
        <v/>
      </c>
      <c r="E122" s="12">
        <f>IF(A122="","",IF(Calculator!$B$17=1,ROUNDUP(D122*Calculator!$B$8/3600/Calculator!$B$24-0.000000001,0),D122*Calculator!$B$8/3600/Calculator!$B$24))</f>
        <v/>
      </c>
      <c r="F122" s="16">
        <f>IF(A122="","",IF(Calculator!$B$16=1,Calculator!$B$27,A122)*Calculator!$B$5*Calculator!$B$15)</f>
        <v/>
      </c>
      <c r="G122" s="16">
        <f>IF(A122="","",E122*Calculator!$B$6+Calculator!$C$37+F122+Calculator!$B$30)</f>
        <v/>
      </c>
      <c r="H122" s="16">
        <f>IF(A122="","",Calculator!$B$40-G122)</f>
        <v/>
      </c>
      <c r="I122" s="17">
        <f>IF(A122="","",A122*Calculator!$B$5*Calculator!$B$8/3600)</f>
        <v/>
      </c>
      <c r="J122" s="12">
        <f>IF(A122="","",Calculator!$B$35-E122)</f>
        <v/>
      </c>
    </row>
    <row r="123">
      <c r="A123" s="15">
        <f>IF(121/1000&lt;=Calculator!$B$27+0.0000001,121/1000,"")</f>
        <v/>
      </c>
      <c r="B123" s="15">
        <f>IF(A123="","",A123/Calculator!$B$27)</f>
        <v/>
      </c>
      <c r="C123" s="15">
        <f>IF(A123="","",Calculator!$B$27-A123)</f>
        <v/>
      </c>
      <c r="D123" s="17">
        <f>IF(A123="","",(Calculator!$B$11+C123)*Calculator!$B$5)</f>
        <v/>
      </c>
      <c r="E123" s="12">
        <f>IF(A123="","",IF(Calculator!$B$17=1,ROUNDUP(D123*Calculator!$B$8/3600/Calculator!$B$24-0.000000001,0),D123*Calculator!$B$8/3600/Calculator!$B$24))</f>
        <v/>
      </c>
      <c r="F123" s="16">
        <f>IF(A123="","",IF(Calculator!$B$16=1,Calculator!$B$27,A123)*Calculator!$B$5*Calculator!$B$15)</f>
        <v/>
      </c>
      <c r="G123" s="16">
        <f>IF(A123="","",E123*Calculator!$B$6+Calculator!$C$37+F123+Calculator!$B$30)</f>
        <v/>
      </c>
      <c r="H123" s="16">
        <f>IF(A123="","",Calculator!$B$40-G123)</f>
        <v/>
      </c>
      <c r="I123" s="17">
        <f>IF(A123="","",A123*Calculator!$B$5*Calculator!$B$8/3600)</f>
        <v/>
      </c>
      <c r="J123" s="12">
        <f>IF(A123="","",Calculator!$B$35-E123)</f>
        <v/>
      </c>
    </row>
    <row r="124">
      <c r="A124" s="15">
        <f>IF(122/1000&lt;=Calculator!$B$27+0.0000001,122/1000,"")</f>
        <v/>
      </c>
      <c r="B124" s="15">
        <f>IF(A124="","",A124/Calculator!$B$27)</f>
        <v/>
      </c>
      <c r="C124" s="15">
        <f>IF(A124="","",Calculator!$B$27-A124)</f>
        <v/>
      </c>
      <c r="D124" s="17">
        <f>IF(A124="","",(Calculator!$B$11+C124)*Calculator!$B$5)</f>
        <v/>
      </c>
      <c r="E124" s="12">
        <f>IF(A124="","",IF(Calculator!$B$17=1,ROUNDUP(D124*Calculator!$B$8/3600/Calculator!$B$24-0.000000001,0),D124*Calculator!$B$8/3600/Calculator!$B$24))</f>
        <v/>
      </c>
      <c r="F124" s="16">
        <f>IF(A124="","",IF(Calculator!$B$16=1,Calculator!$B$27,A124)*Calculator!$B$5*Calculator!$B$15)</f>
        <v/>
      </c>
      <c r="G124" s="16">
        <f>IF(A124="","",E124*Calculator!$B$6+Calculator!$C$37+F124+Calculator!$B$30)</f>
        <v/>
      </c>
      <c r="H124" s="16">
        <f>IF(A124="","",Calculator!$B$40-G124)</f>
        <v/>
      </c>
      <c r="I124" s="17">
        <f>IF(A124="","",A124*Calculator!$B$5*Calculator!$B$8/3600)</f>
        <v/>
      </c>
      <c r="J124" s="12">
        <f>IF(A124="","",Calculator!$B$35-E124)</f>
        <v/>
      </c>
    </row>
    <row r="125">
      <c r="A125" s="15">
        <f>IF(123/1000&lt;=Calculator!$B$27+0.0000001,123/1000,"")</f>
        <v/>
      </c>
      <c r="B125" s="15">
        <f>IF(A125="","",A125/Calculator!$B$27)</f>
        <v/>
      </c>
      <c r="C125" s="15">
        <f>IF(A125="","",Calculator!$B$27-A125)</f>
        <v/>
      </c>
      <c r="D125" s="17">
        <f>IF(A125="","",(Calculator!$B$11+C125)*Calculator!$B$5)</f>
        <v/>
      </c>
      <c r="E125" s="12">
        <f>IF(A125="","",IF(Calculator!$B$17=1,ROUNDUP(D125*Calculator!$B$8/3600/Calculator!$B$24-0.000000001,0),D125*Calculator!$B$8/3600/Calculator!$B$24))</f>
        <v/>
      </c>
      <c r="F125" s="16">
        <f>IF(A125="","",IF(Calculator!$B$16=1,Calculator!$B$27,A125)*Calculator!$B$5*Calculator!$B$15)</f>
        <v/>
      </c>
      <c r="G125" s="16">
        <f>IF(A125="","",E125*Calculator!$B$6+Calculator!$C$37+F125+Calculator!$B$30)</f>
        <v/>
      </c>
      <c r="H125" s="16">
        <f>IF(A125="","",Calculator!$B$40-G125)</f>
        <v/>
      </c>
      <c r="I125" s="17">
        <f>IF(A125="","",A125*Calculator!$B$5*Calculator!$B$8/3600)</f>
        <v/>
      </c>
      <c r="J125" s="12">
        <f>IF(A125="","",Calculator!$B$35-E125)</f>
        <v/>
      </c>
    </row>
    <row r="126">
      <c r="A126" s="15">
        <f>IF(124/1000&lt;=Calculator!$B$27+0.0000001,124/1000,"")</f>
        <v/>
      </c>
      <c r="B126" s="15">
        <f>IF(A126="","",A126/Calculator!$B$27)</f>
        <v/>
      </c>
      <c r="C126" s="15">
        <f>IF(A126="","",Calculator!$B$27-A126)</f>
        <v/>
      </c>
      <c r="D126" s="17">
        <f>IF(A126="","",(Calculator!$B$11+C126)*Calculator!$B$5)</f>
        <v/>
      </c>
      <c r="E126" s="12">
        <f>IF(A126="","",IF(Calculator!$B$17=1,ROUNDUP(D126*Calculator!$B$8/3600/Calculator!$B$24-0.000000001,0),D126*Calculator!$B$8/3600/Calculator!$B$24))</f>
        <v/>
      </c>
      <c r="F126" s="16">
        <f>IF(A126="","",IF(Calculator!$B$16=1,Calculator!$B$27,A126)*Calculator!$B$5*Calculator!$B$15)</f>
        <v/>
      </c>
      <c r="G126" s="16">
        <f>IF(A126="","",E126*Calculator!$B$6+Calculator!$C$37+F126+Calculator!$B$30)</f>
        <v/>
      </c>
      <c r="H126" s="16">
        <f>IF(A126="","",Calculator!$B$40-G126)</f>
        <v/>
      </c>
      <c r="I126" s="17">
        <f>IF(A126="","",A126*Calculator!$B$5*Calculator!$B$8/3600)</f>
        <v/>
      </c>
      <c r="J126" s="12">
        <f>IF(A126="","",Calculator!$B$35-E126)</f>
        <v/>
      </c>
    </row>
    <row r="127">
      <c r="A127" s="15">
        <f>IF(125/1000&lt;=Calculator!$B$27+0.0000001,125/1000,"")</f>
        <v/>
      </c>
      <c r="B127" s="15">
        <f>IF(A127="","",A127/Calculator!$B$27)</f>
        <v/>
      </c>
      <c r="C127" s="15">
        <f>IF(A127="","",Calculator!$B$27-A127)</f>
        <v/>
      </c>
      <c r="D127" s="17">
        <f>IF(A127="","",(Calculator!$B$11+C127)*Calculator!$B$5)</f>
        <v/>
      </c>
      <c r="E127" s="12">
        <f>IF(A127="","",IF(Calculator!$B$17=1,ROUNDUP(D127*Calculator!$B$8/3600/Calculator!$B$24-0.000000001,0),D127*Calculator!$B$8/3600/Calculator!$B$24))</f>
        <v/>
      </c>
      <c r="F127" s="16">
        <f>IF(A127="","",IF(Calculator!$B$16=1,Calculator!$B$27,A127)*Calculator!$B$5*Calculator!$B$15)</f>
        <v/>
      </c>
      <c r="G127" s="16">
        <f>IF(A127="","",E127*Calculator!$B$6+Calculator!$C$37+F127+Calculator!$B$30)</f>
        <v/>
      </c>
      <c r="H127" s="16">
        <f>IF(A127="","",Calculator!$B$40-G127)</f>
        <v/>
      </c>
      <c r="I127" s="17">
        <f>IF(A127="","",A127*Calculator!$B$5*Calculator!$B$8/3600)</f>
        <v/>
      </c>
      <c r="J127" s="12">
        <f>IF(A127="","",Calculator!$B$35-E127)</f>
        <v/>
      </c>
    </row>
    <row r="128">
      <c r="A128" s="15">
        <f>IF(126/1000&lt;=Calculator!$B$27+0.0000001,126/1000,"")</f>
        <v/>
      </c>
      <c r="B128" s="15">
        <f>IF(A128="","",A128/Calculator!$B$27)</f>
        <v/>
      </c>
      <c r="C128" s="15">
        <f>IF(A128="","",Calculator!$B$27-A128)</f>
        <v/>
      </c>
      <c r="D128" s="17">
        <f>IF(A128="","",(Calculator!$B$11+C128)*Calculator!$B$5)</f>
        <v/>
      </c>
      <c r="E128" s="12">
        <f>IF(A128="","",IF(Calculator!$B$17=1,ROUNDUP(D128*Calculator!$B$8/3600/Calculator!$B$24-0.000000001,0),D128*Calculator!$B$8/3600/Calculator!$B$24))</f>
        <v/>
      </c>
      <c r="F128" s="16">
        <f>IF(A128="","",IF(Calculator!$B$16=1,Calculator!$B$27,A128)*Calculator!$B$5*Calculator!$B$15)</f>
        <v/>
      </c>
      <c r="G128" s="16">
        <f>IF(A128="","",E128*Calculator!$B$6+Calculator!$C$37+F128+Calculator!$B$30)</f>
        <v/>
      </c>
      <c r="H128" s="16">
        <f>IF(A128="","",Calculator!$B$40-G128)</f>
        <v/>
      </c>
      <c r="I128" s="17">
        <f>IF(A128="","",A128*Calculator!$B$5*Calculator!$B$8/3600)</f>
        <v/>
      </c>
      <c r="J128" s="12">
        <f>IF(A128="","",Calculator!$B$35-E128)</f>
        <v/>
      </c>
    </row>
    <row r="129">
      <c r="A129" s="15">
        <f>IF(127/1000&lt;=Calculator!$B$27+0.0000001,127/1000,"")</f>
        <v/>
      </c>
      <c r="B129" s="15">
        <f>IF(A129="","",A129/Calculator!$B$27)</f>
        <v/>
      </c>
      <c r="C129" s="15">
        <f>IF(A129="","",Calculator!$B$27-A129)</f>
        <v/>
      </c>
      <c r="D129" s="17">
        <f>IF(A129="","",(Calculator!$B$11+C129)*Calculator!$B$5)</f>
        <v/>
      </c>
      <c r="E129" s="12">
        <f>IF(A129="","",IF(Calculator!$B$17=1,ROUNDUP(D129*Calculator!$B$8/3600/Calculator!$B$24-0.000000001,0),D129*Calculator!$B$8/3600/Calculator!$B$24))</f>
        <v/>
      </c>
      <c r="F129" s="16">
        <f>IF(A129="","",IF(Calculator!$B$16=1,Calculator!$B$27,A129)*Calculator!$B$5*Calculator!$B$15)</f>
        <v/>
      </c>
      <c r="G129" s="16">
        <f>IF(A129="","",E129*Calculator!$B$6+Calculator!$C$37+F129+Calculator!$B$30)</f>
        <v/>
      </c>
      <c r="H129" s="16">
        <f>IF(A129="","",Calculator!$B$40-G129)</f>
        <v/>
      </c>
      <c r="I129" s="17">
        <f>IF(A129="","",A129*Calculator!$B$5*Calculator!$B$8/3600)</f>
        <v/>
      </c>
      <c r="J129" s="12">
        <f>IF(A129="","",Calculator!$B$35-E129)</f>
        <v/>
      </c>
    </row>
    <row r="130">
      <c r="A130" s="15">
        <f>IF(128/1000&lt;=Calculator!$B$27+0.0000001,128/1000,"")</f>
        <v/>
      </c>
      <c r="B130" s="15">
        <f>IF(A130="","",A130/Calculator!$B$27)</f>
        <v/>
      </c>
      <c r="C130" s="15">
        <f>IF(A130="","",Calculator!$B$27-A130)</f>
        <v/>
      </c>
      <c r="D130" s="17">
        <f>IF(A130="","",(Calculator!$B$11+C130)*Calculator!$B$5)</f>
        <v/>
      </c>
      <c r="E130" s="12">
        <f>IF(A130="","",IF(Calculator!$B$17=1,ROUNDUP(D130*Calculator!$B$8/3600/Calculator!$B$24-0.000000001,0),D130*Calculator!$B$8/3600/Calculator!$B$24))</f>
        <v/>
      </c>
      <c r="F130" s="16">
        <f>IF(A130="","",IF(Calculator!$B$16=1,Calculator!$B$27,A130)*Calculator!$B$5*Calculator!$B$15)</f>
        <v/>
      </c>
      <c r="G130" s="16">
        <f>IF(A130="","",E130*Calculator!$B$6+Calculator!$C$37+F130+Calculator!$B$30)</f>
        <v/>
      </c>
      <c r="H130" s="16">
        <f>IF(A130="","",Calculator!$B$40-G130)</f>
        <v/>
      </c>
      <c r="I130" s="17">
        <f>IF(A130="","",A130*Calculator!$B$5*Calculator!$B$8/3600)</f>
        <v/>
      </c>
      <c r="J130" s="12">
        <f>IF(A130="","",Calculator!$B$35-E130)</f>
        <v/>
      </c>
    </row>
    <row r="131">
      <c r="A131" s="15">
        <f>IF(129/1000&lt;=Calculator!$B$27+0.0000001,129/1000,"")</f>
        <v/>
      </c>
      <c r="B131" s="15">
        <f>IF(A131="","",A131/Calculator!$B$27)</f>
        <v/>
      </c>
      <c r="C131" s="15">
        <f>IF(A131="","",Calculator!$B$27-A131)</f>
        <v/>
      </c>
      <c r="D131" s="17">
        <f>IF(A131="","",(Calculator!$B$11+C131)*Calculator!$B$5)</f>
        <v/>
      </c>
      <c r="E131" s="12">
        <f>IF(A131="","",IF(Calculator!$B$17=1,ROUNDUP(D131*Calculator!$B$8/3600/Calculator!$B$24-0.000000001,0),D131*Calculator!$B$8/3600/Calculator!$B$24))</f>
        <v/>
      </c>
      <c r="F131" s="16">
        <f>IF(A131="","",IF(Calculator!$B$16=1,Calculator!$B$27,A131)*Calculator!$B$5*Calculator!$B$15)</f>
        <v/>
      </c>
      <c r="G131" s="16">
        <f>IF(A131="","",E131*Calculator!$B$6+Calculator!$C$37+F131+Calculator!$B$30)</f>
        <v/>
      </c>
      <c r="H131" s="16">
        <f>IF(A131="","",Calculator!$B$40-G131)</f>
        <v/>
      </c>
      <c r="I131" s="17">
        <f>IF(A131="","",A131*Calculator!$B$5*Calculator!$B$8/3600)</f>
        <v/>
      </c>
      <c r="J131" s="12">
        <f>IF(A131="","",Calculator!$B$35-E131)</f>
        <v/>
      </c>
    </row>
    <row r="132">
      <c r="A132" s="15">
        <f>IF(130/1000&lt;=Calculator!$B$27+0.0000001,130/1000,"")</f>
        <v/>
      </c>
      <c r="B132" s="15">
        <f>IF(A132="","",A132/Calculator!$B$27)</f>
        <v/>
      </c>
      <c r="C132" s="15">
        <f>IF(A132="","",Calculator!$B$27-A132)</f>
        <v/>
      </c>
      <c r="D132" s="17">
        <f>IF(A132="","",(Calculator!$B$11+C132)*Calculator!$B$5)</f>
        <v/>
      </c>
      <c r="E132" s="12">
        <f>IF(A132="","",IF(Calculator!$B$17=1,ROUNDUP(D132*Calculator!$B$8/3600/Calculator!$B$24-0.000000001,0),D132*Calculator!$B$8/3600/Calculator!$B$24))</f>
        <v/>
      </c>
      <c r="F132" s="16">
        <f>IF(A132="","",IF(Calculator!$B$16=1,Calculator!$B$27,A132)*Calculator!$B$5*Calculator!$B$15)</f>
        <v/>
      </c>
      <c r="G132" s="16">
        <f>IF(A132="","",E132*Calculator!$B$6+Calculator!$C$37+F132+Calculator!$B$30)</f>
        <v/>
      </c>
      <c r="H132" s="16">
        <f>IF(A132="","",Calculator!$B$40-G132)</f>
        <v/>
      </c>
      <c r="I132" s="17">
        <f>IF(A132="","",A132*Calculator!$B$5*Calculator!$B$8/3600)</f>
        <v/>
      </c>
      <c r="J132" s="12">
        <f>IF(A132="","",Calculator!$B$35-E132)</f>
        <v/>
      </c>
    </row>
    <row r="133">
      <c r="A133" s="15">
        <f>IF(131/1000&lt;=Calculator!$B$27+0.0000001,131/1000,"")</f>
        <v/>
      </c>
      <c r="B133" s="15">
        <f>IF(A133="","",A133/Calculator!$B$27)</f>
        <v/>
      </c>
      <c r="C133" s="15">
        <f>IF(A133="","",Calculator!$B$27-A133)</f>
        <v/>
      </c>
      <c r="D133" s="17">
        <f>IF(A133="","",(Calculator!$B$11+C133)*Calculator!$B$5)</f>
        <v/>
      </c>
      <c r="E133" s="12">
        <f>IF(A133="","",IF(Calculator!$B$17=1,ROUNDUP(D133*Calculator!$B$8/3600/Calculator!$B$24-0.000000001,0),D133*Calculator!$B$8/3600/Calculator!$B$24))</f>
        <v/>
      </c>
      <c r="F133" s="16">
        <f>IF(A133="","",IF(Calculator!$B$16=1,Calculator!$B$27,A133)*Calculator!$B$5*Calculator!$B$15)</f>
        <v/>
      </c>
      <c r="G133" s="16">
        <f>IF(A133="","",E133*Calculator!$B$6+Calculator!$C$37+F133+Calculator!$B$30)</f>
        <v/>
      </c>
      <c r="H133" s="16">
        <f>IF(A133="","",Calculator!$B$40-G133)</f>
        <v/>
      </c>
      <c r="I133" s="17">
        <f>IF(A133="","",A133*Calculator!$B$5*Calculator!$B$8/3600)</f>
        <v/>
      </c>
      <c r="J133" s="12">
        <f>IF(A133="","",Calculator!$B$35-E133)</f>
        <v/>
      </c>
    </row>
    <row r="134">
      <c r="A134" s="15">
        <f>IF(132/1000&lt;=Calculator!$B$27+0.0000001,132/1000,"")</f>
        <v/>
      </c>
      <c r="B134" s="15">
        <f>IF(A134="","",A134/Calculator!$B$27)</f>
        <v/>
      </c>
      <c r="C134" s="15">
        <f>IF(A134="","",Calculator!$B$27-A134)</f>
        <v/>
      </c>
      <c r="D134" s="17">
        <f>IF(A134="","",(Calculator!$B$11+C134)*Calculator!$B$5)</f>
        <v/>
      </c>
      <c r="E134" s="12">
        <f>IF(A134="","",IF(Calculator!$B$17=1,ROUNDUP(D134*Calculator!$B$8/3600/Calculator!$B$24-0.000000001,0),D134*Calculator!$B$8/3600/Calculator!$B$24))</f>
        <v/>
      </c>
      <c r="F134" s="16">
        <f>IF(A134="","",IF(Calculator!$B$16=1,Calculator!$B$27,A134)*Calculator!$B$5*Calculator!$B$15)</f>
        <v/>
      </c>
      <c r="G134" s="16">
        <f>IF(A134="","",E134*Calculator!$B$6+Calculator!$C$37+F134+Calculator!$B$30)</f>
        <v/>
      </c>
      <c r="H134" s="16">
        <f>IF(A134="","",Calculator!$B$40-G134)</f>
        <v/>
      </c>
      <c r="I134" s="17">
        <f>IF(A134="","",A134*Calculator!$B$5*Calculator!$B$8/3600)</f>
        <v/>
      </c>
      <c r="J134" s="12">
        <f>IF(A134="","",Calculator!$B$35-E134)</f>
        <v/>
      </c>
    </row>
    <row r="135">
      <c r="A135" s="15">
        <f>IF(133/1000&lt;=Calculator!$B$27+0.0000001,133/1000,"")</f>
        <v/>
      </c>
      <c r="B135" s="15">
        <f>IF(A135="","",A135/Calculator!$B$27)</f>
        <v/>
      </c>
      <c r="C135" s="15">
        <f>IF(A135="","",Calculator!$B$27-A135)</f>
        <v/>
      </c>
      <c r="D135" s="17">
        <f>IF(A135="","",(Calculator!$B$11+C135)*Calculator!$B$5)</f>
        <v/>
      </c>
      <c r="E135" s="12">
        <f>IF(A135="","",IF(Calculator!$B$17=1,ROUNDUP(D135*Calculator!$B$8/3600/Calculator!$B$24-0.000000001,0),D135*Calculator!$B$8/3600/Calculator!$B$24))</f>
        <v/>
      </c>
      <c r="F135" s="16">
        <f>IF(A135="","",IF(Calculator!$B$16=1,Calculator!$B$27,A135)*Calculator!$B$5*Calculator!$B$15)</f>
        <v/>
      </c>
      <c r="G135" s="16">
        <f>IF(A135="","",E135*Calculator!$B$6+Calculator!$C$37+F135+Calculator!$B$30)</f>
        <v/>
      </c>
      <c r="H135" s="16">
        <f>IF(A135="","",Calculator!$B$40-G135)</f>
        <v/>
      </c>
      <c r="I135" s="17">
        <f>IF(A135="","",A135*Calculator!$B$5*Calculator!$B$8/3600)</f>
        <v/>
      </c>
      <c r="J135" s="12">
        <f>IF(A135="","",Calculator!$B$35-E135)</f>
        <v/>
      </c>
    </row>
    <row r="136">
      <c r="A136" s="15">
        <f>IF(134/1000&lt;=Calculator!$B$27+0.0000001,134/1000,"")</f>
        <v/>
      </c>
      <c r="B136" s="15">
        <f>IF(A136="","",A136/Calculator!$B$27)</f>
        <v/>
      </c>
      <c r="C136" s="15">
        <f>IF(A136="","",Calculator!$B$27-A136)</f>
        <v/>
      </c>
      <c r="D136" s="17">
        <f>IF(A136="","",(Calculator!$B$11+C136)*Calculator!$B$5)</f>
        <v/>
      </c>
      <c r="E136" s="12">
        <f>IF(A136="","",IF(Calculator!$B$17=1,ROUNDUP(D136*Calculator!$B$8/3600/Calculator!$B$24-0.000000001,0),D136*Calculator!$B$8/3600/Calculator!$B$24))</f>
        <v/>
      </c>
      <c r="F136" s="16">
        <f>IF(A136="","",IF(Calculator!$B$16=1,Calculator!$B$27,A136)*Calculator!$B$5*Calculator!$B$15)</f>
        <v/>
      </c>
      <c r="G136" s="16">
        <f>IF(A136="","",E136*Calculator!$B$6+Calculator!$C$37+F136+Calculator!$B$30)</f>
        <v/>
      </c>
      <c r="H136" s="16">
        <f>IF(A136="","",Calculator!$B$40-G136)</f>
        <v/>
      </c>
      <c r="I136" s="17">
        <f>IF(A136="","",A136*Calculator!$B$5*Calculator!$B$8/3600)</f>
        <v/>
      </c>
      <c r="J136" s="12">
        <f>IF(A136="","",Calculator!$B$35-E136)</f>
        <v/>
      </c>
    </row>
    <row r="137">
      <c r="A137" s="15">
        <f>IF(135/1000&lt;=Calculator!$B$27+0.0000001,135/1000,"")</f>
        <v/>
      </c>
      <c r="B137" s="15">
        <f>IF(A137="","",A137/Calculator!$B$27)</f>
        <v/>
      </c>
      <c r="C137" s="15">
        <f>IF(A137="","",Calculator!$B$27-A137)</f>
        <v/>
      </c>
      <c r="D137" s="17">
        <f>IF(A137="","",(Calculator!$B$11+C137)*Calculator!$B$5)</f>
        <v/>
      </c>
      <c r="E137" s="12">
        <f>IF(A137="","",IF(Calculator!$B$17=1,ROUNDUP(D137*Calculator!$B$8/3600/Calculator!$B$24-0.000000001,0),D137*Calculator!$B$8/3600/Calculator!$B$24))</f>
        <v/>
      </c>
      <c r="F137" s="16">
        <f>IF(A137="","",IF(Calculator!$B$16=1,Calculator!$B$27,A137)*Calculator!$B$5*Calculator!$B$15)</f>
        <v/>
      </c>
      <c r="G137" s="16">
        <f>IF(A137="","",E137*Calculator!$B$6+Calculator!$C$37+F137+Calculator!$B$30)</f>
        <v/>
      </c>
      <c r="H137" s="16">
        <f>IF(A137="","",Calculator!$B$40-G137)</f>
        <v/>
      </c>
      <c r="I137" s="17">
        <f>IF(A137="","",A137*Calculator!$B$5*Calculator!$B$8/3600)</f>
        <v/>
      </c>
      <c r="J137" s="12">
        <f>IF(A137="","",Calculator!$B$35-E137)</f>
        <v/>
      </c>
    </row>
    <row r="138">
      <c r="A138" s="15">
        <f>IF(136/1000&lt;=Calculator!$B$27+0.0000001,136/1000,"")</f>
        <v/>
      </c>
      <c r="B138" s="15">
        <f>IF(A138="","",A138/Calculator!$B$27)</f>
        <v/>
      </c>
      <c r="C138" s="15">
        <f>IF(A138="","",Calculator!$B$27-A138)</f>
        <v/>
      </c>
      <c r="D138" s="17">
        <f>IF(A138="","",(Calculator!$B$11+C138)*Calculator!$B$5)</f>
        <v/>
      </c>
      <c r="E138" s="12">
        <f>IF(A138="","",IF(Calculator!$B$17=1,ROUNDUP(D138*Calculator!$B$8/3600/Calculator!$B$24-0.000000001,0),D138*Calculator!$B$8/3600/Calculator!$B$24))</f>
        <v/>
      </c>
      <c r="F138" s="16">
        <f>IF(A138="","",IF(Calculator!$B$16=1,Calculator!$B$27,A138)*Calculator!$B$5*Calculator!$B$15)</f>
        <v/>
      </c>
      <c r="G138" s="16">
        <f>IF(A138="","",E138*Calculator!$B$6+Calculator!$C$37+F138+Calculator!$B$30)</f>
        <v/>
      </c>
      <c r="H138" s="16">
        <f>IF(A138="","",Calculator!$B$40-G138)</f>
        <v/>
      </c>
      <c r="I138" s="17">
        <f>IF(A138="","",A138*Calculator!$B$5*Calculator!$B$8/3600)</f>
        <v/>
      </c>
      <c r="J138" s="12">
        <f>IF(A138="","",Calculator!$B$35-E138)</f>
        <v/>
      </c>
    </row>
    <row r="139">
      <c r="A139" s="15">
        <f>IF(137/1000&lt;=Calculator!$B$27+0.0000001,137/1000,"")</f>
        <v/>
      </c>
      <c r="B139" s="15">
        <f>IF(A139="","",A139/Calculator!$B$27)</f>
        <v/>
      </c>
      <c r="C139" s="15">
        <f>IF(A139="","",Calculator!$B$27-A139)</f>
        <v/>
      </c>
      <c r="D139" s="17">
        <f>IF(A139="","",(Calculator!$B$11+C139)*Calculator!$B$5)</f>
        <v/>
      </c>
      <c r="E139" s="12">
        <f>IF(A139="","",IF(Calculator!$B$17=1,ROUNDUP(D139*Calculator!$B$8/3600/Calculator!$B$24-0.000000001,0),D139*Calculator!$B$8/3600/Calculator!$B$24))</f>
        <v/>
      </c>
      <c r="F139" s="16">
        <f>IF(A139="","",IF(Calculator!$B$16=1,Calculator!$B$27,A139)*Calculator!$B$5*Calculator!$B$15)</f>
        <v/>
      </c>
      <c r="G139" s="16">
        <f>IF(A139="","",E139*Calculator!$B$6+Calculator!$C$37+F139+Calculator!$B$30)</f>
        <v/>
      </c>
      <c r="H139" s="16">
        <f>IF(A139="","",Calculator!$B$40-G139)</f>
        <v/>
      </c>
      <c r="I139" s="17">
        <f>IF(A139="","",A139*Calculator!$B$5*Calculator!$B$8/3600)</f>
        <v/>
      </c>
      <c r="J139" s="12">
        <f>IF(A139="","",Calculator!$B$35-E139)</f>
        <v/>
      </c>
    </row>
    <row r="140">
      <c r="A140" s="15">
        <f>IF(138/1000&lt;=Calculator!$B$27+0.0000001,138/1000,"")</f>
        <v/>
      </c>
      <c r="B140" s="15">
        <f>IF(A140="","",A140/Calculator!$B$27)</f>
        <v/>
      </c>
      <c r="C140" s="15">
        <f>IF(A140="","",Calculator!$B$27-A140)</f>
        <v/>
      </c>
      <c r="D140" s="17">
        <f>IF(A140="","",(Calculator!$B$11+C140)*Calculator!$B$5)</f>
        <v/>
      </c>
      <c r="E140" s="12">
        <f>IF(A140="","",IF(Calculator!$B$17=1,ROUNDUP(D140*Calculator!$B$8/3600/Calculator!$B$24-0.000000001,0),D140*Calculator!$B$8/3600/Calculator!$B$24))</f>
        <v/>
      </c>
      <c r="F140" s="16">
        <f>IF(A140="","",IF(Calculator!$B$16=1,Calculator!$B$27,A140)*Calculator!$B$5*Calculator!$B$15)</f>
        <v/>
      </c>
      <c r="G140" s="16">
        <f>IF(A140="","",E140*Calculator!$B$6+Calculator!$C$37+F140+Calculator!$B$30)</f>
        <v/>
      </c>
      <c r="H140" s="16">
        <f>IF(A140="","",Calculator!$B$40-G140)</f>
        <v/>
      </c>
      <c r="I140" s="17">
        <f>IF(A140="","",A140*Calculator!$B$5*Calculator!$B$8/3600)</f>
        <v/>
      </c>
      <c r="J140" s="12">
        <f>IF(A140="","",Calculator!$B$35-E140)</f>
        <v/>
      </c>
    </row>
    <row r="141">
      <c r="A141" s="15">
        <f>IF(139/1000&lt;=Calculator!$B$27+0.0000001,139/1000,"")</f>
        <v/>
      </c>
      <c r="B141" s="15">
        <f>IF(A141="","",A141/Calculator!$B$27)</f>
        <v/>
      </c>
      <c r="C141" s="15">
        <f>IF(A141="","",Calculator!$B$27-A141)</f>
        <v/>
      </c>
      <c r="D141" s="17">
        <f>IF(A141="","",(Calculator!$B$11+C141)*Calculator!$B$5)</f>
        <v/>
      </c>
      <c r="E141" s="12">
        <f>IF(A141="","",IF(Calculator!$B$17=1,ROUNDUP(D141*Calculator!$B$8/3600/Calculator!$B$24-0.000000001,0),D141*Calculator!$B$8/3600/Calculator!$B$24))</f>
        <v/>
      </c>
      <c r="F141" s="16">
        <f>IF(A141="","",IF(Calculator!$B$16=1,Calculator!$B$27,A141)*Calculator!$B$5*Calculator!$B$15)</f>
        <v/>
      </c>
      <c r="G141" s="16">
        <f>IF(A141="","",E141*Calculator!$B$6+Calculator!$C$37+F141+Calculator!$B$30)</f>
        <v/>
      </c>
      <c r="H141" s="16">
        <f>IF(A141="","",Calculator!$B$40-G141)</f>
        <v/>
      </c>
      <c r="I141" s="17">
        <f>IF(A141="","",A141*Calculator!$B$5*Calculator!$B$8/3600)</f>
        <v/>
      </c>
      <c r="J141" s="12">
        <f>IF(A141="","",Calculator!$B$35-E141)</f>
        <v/>
      </c>
    </row>
    <row r="142">
      <c r="A142" s="15">
        <f>IF(140/1000&lt;=Calculator!$B$27+0.0000001,140/1000,"")</f>
        <v/>
      </c>
      <c r="B142" s="15">
        <f>IF(A142="","",A142/Calculator!$B$27)</f>
        <v/>
      </c>
      <c r="C142" s="15">
        <f>IF(A142="","",Calculator!$B$27-A142)</f>
        <v/>
      </c>
      <c r="D142" s="17">
        <f>IF(A142="","",(Calculator!$B$11+C142)*Calculator!$B$5)</f>
        <v/>
      </c>
      <c r="E142" s="12">
        <f>IF(A142="","",IF(Calculator!$B$17=1,ROUNDUP(D142*Calculator!$B$8/3600/Calculator!$B$24-0.000000001,0),D142*Calculator!$B$8/3600/Calculator!$B$24))</f>
        <v/>
      </c>
      <c r="F142" s="16">
        <f>IF(A142="","",IF(Calculator!$B$16=1,Calculator!$B$27,A142)*Calculator!$B$5*Calculator!$B$15)</f>
        <v/>
      </c>
      <c r="G142" s="16">
        <f>IF(A142="","",E142*Calculator!$B$6+Calculator!$C$37+F142+Calculator!$B$30)</f>
        <v/>
      </c>
      <c r="H142" s="16">
        <f>IF(A142="","",Calculator!$B$40-G142)</f>
        <v/>
      </c>
      <c r="I142" s="17">
        <f>IF(A142="","",A142*Calculator!$B$5*Calculator!$B$8/3600)</f>
        <v/>
      </c>
      <c r="J142" s="12">
        <f>IF(A142="","",Calculator!$B$35-E142)</f>
        <v/>
      </c>
    </row>
    <row r="143">
      <c r="A143" s="15">
        <f>IF(141/1000&lt;=Calculator!$B$27+0.0000001,141/1000,"")</f>
        <v/>
      </c>
      <c r="B143" s="15">
        <f>IF(A143="","",A143/Calculator!$B$27)</f>
        <v/>
      </c>
      <c r="C143" s="15">
        <f>IF(A143="","",Calculator!$B$27-A143)</f>
        <v/>
      </c>
      <c r="D143" s="17">
        <f>IF(A143="","",(Calculator!$B$11+C143)*Calculator!$B$5)</f>
        <v/>
      </c>
      <c r="E143" s="12">
        <f>IF(A143="","",IF(Calculator!$B$17=1,ROUNDUP(D143*Calculator!$B$8/3600/Calculator!$B$24-0.000000001,0),D143*Calculator!$B$8/3600/Calculator!$B$24))</f>
        <v/>
      </c>
      <c r="F143" s="16">
        <f>IF(A143="","",IF(Calculator!$B$16=1,Calculator!$B$27,A143)*Calculator!$B$5*Calculator!$B$15)</f>
        <v/>
      </c>
      <c r="G143" s="16">
        <f>IF(A143="","",E143*Calculator!$B$6+Calculator!$C$37+F143+Calculator!$B$30)</f>
        <v/>
      </c>
      <c r="H143" s="16">
        <f>IF(A143="","",Calculator!$B$40-G143)</f>
        <v/>
      </c>
      <c r="I143" s="17">
        <f>IF(A143="","",A143*Calculator!$B$5*Calculator!$B$8/3600)</f>
        <v/>
      </c>
      <c r="J143" s="12">
        <f>IF(A143="","",Calculator!$B$35-E143)</f>
        <v/>
      </c>
    </row>
    <row r="144">
      <c r="A144" s="15">
        <f>IF(142/1000&lt;=Calculator!$B$27+0.0000001,142/1000,"")</f>
        <v/>
      </c>
      <c r="B144" s="15">
        <f>IF(A144="","",A144/Calculator!$B$27)</f>
        <v/>
      </c>
      <c r="C144" s="15">
        <f>IF(A144="","",Calculator!$B$27-A144)</f>
        <v/>
      </c>
      <c r="D144" s="17">
        <f>IF(A144="","",(Calculator!$B$11+C144)*Calculator!$B$5)</f>
        <v/>
      </c>
      <c r="E144" s="12">
        <f>IF(A144="","",IF(Calculator!$B$17=1,ROUNDUP(D144*Calculator!$B$8/3600/Calculator!$B$24-0.000000001,0),D144*Calculator!$B$8/3600/Calculator!$B$24))</f>
        <v/>
      </c>
      <c r="F144" s="16">
        <f>IF(A144="","",IF(Calculator!$B$16=1,Calculator!$B$27,A144)*Calculator!$B$5*Calculator!$B$15)</f>
        <v/>
      </c>
      <c r="G144" s="16">
        <f>IF(A144="","",E144*Calculator!$B$6+Calculator!$C$37+F144+Calculator!$B$30)</f>
        <v/>
      </c>
      <c r="H144" s="16">
        <f>IF(A144="","",Calculator!$B$40-G144)</f>
        <v/>
      </c>
      <c r="I144" s="17">
        <f>IF(A144="","",A144*Calculator!$B$5*Calculator!$B$8/3600)</f>
        <v/>
      </c>
      <c r="J144" s="12">
        <f>IF(A144="","",Calculator!$B$35-E144)</f>
        <v/>
      </c>
    </row>
    <row r="145">
      <c r="A145" s="15">
        <f>IF(143/1000&lt;=Calculator!$B$27+0.0000001,143/1000,"")</f>
        <v/>
      </c>
      <c r="B145" s="15">
        <f>IF(A145="","",A145/Calculator!$B$27)</f>
        <v/>
      </c>
      <c r="C145" s="15">
        <f>IF(A145="","",Calculator!$B$27-A145)</f>
        <v/>
      </c>
      <c r="D145" s="17">
        <f>IF(A145="","",(Calculator!$B$11+C145)*Calculator!$B$5)</f>
        <v/>
      </c>
      <c r="E145" s="12">
        <f>IF(A145="","",IF(Calculator!$B$17=1,ROUNDUP(D145*Calculator!$B$8/3600/Calculator!$B$24-0.000000001,0),D145*Calculator!$B$8/3600/Calculator!$B$24))</f>
        <v/>
      </c>
      <c r="F145" s="16">
        <f>IF(A145="","",IF(Calculator!$B$16=1,Calculator!$B$27,A145)*Calculator!$B$5*Calculator!$B$15)</f>
        <v/>
      </c>
      <c r="G145" s="16">
        <f>IF(A145="","",E145*Calculator!$B$6+Calculator!$C$37+F145+Calculator!$B$30)</f>
        <v/>
      </c>
      <c r="H145" s="16">
        <f>IF(A145="","",Calculator!$B$40-G145)</f>
        <v/>
      </c>
      <c r="I145" s="17">
        <f>IF(A145="","",A145*Calculator!$B$5*Calculator!$B$8/3600)</f>
        <v/>
      </c>
      <c r="J145" s="12">
        <f>IF(A145="","",Calculator!$B$35-E145)</f>
        <v/>
      </c>
    </row>
    <row r="146">
      <c r="A146" s="15">
        <f>IF(144/1000&lt;=Calculator!$B$27+0.0000001,144/1000,"")</f>
        <v/>
      </c>
      <c r="B146" s="15">
        <f>IF(A146="","",A146/Calculator!$B$27)</f>
        <v/>
      </c>
      <c r="C146" s="15">
        <f>IF(A146="","",Calculator!$B$27-A146)</f>
        <v/>
      </c>
      <c r="D146" s="17">
        <f>IF(A146="","",(Calculator!$B$11+C146)*Calculator!$B$5)</f>
        <v/>
      </c>
      <c r="E146" s="12">
        <f>IF(A146="","",IF(Calculator!$B$17=1,ROUNDUP(D146*Calculator!$B$8/3600/Calculator!$B$24-0.000000001,0),D146*Calculator!$B$8/3600/Calculator!$B$24))</f>
        <v/>
      </c>
      <c r="F146" s="16">
        <f>IF(A146="","",IF(Calculator!$B$16=1,Calculator!$B$27,A146)*Calculator!$B$5*Calculator!$B$15)</f>
        <v/>
      </c>
      <c r="G146" s="16">
        <f>IF(A146="","",E146*Calculator!$B$6+Calculator!$C$37+F146+Calculator!$B$30)</f>
        <v/>
      </c>
      <c r="H146" s="16">
        <f>IF(A146="","",Calculator!$B$40-G146)</f>
        <v/>
      </c>
      <c r="I146" s="17">
        <f>IF(A146="","",A146*Calculator!$B$5*Calculator!$B$8/3600)</f>
        <v/>
      </c>
      <c r="J146" s="12">
        <f>IF(A146="","",Calculator!$B$35-E146)</f>
        <v/>
      </c>
    </row>
    <row r="147">
      <c r="A147" s="15">
        <f>IF(145/1000&lt;=Calculator!$B$27+0.0000001,145/1000,"")</f>
        <v/>
      </c>
      <c r="B147" s="15">
        <f>IF(A147="","",A147/Calculator!$B$27)</f>
        <v/>
      </c>
      <c r="C147" s="15">
        <f>IF(A147="","",Calculator!$B$27-A147)</f>
        <v/>
      </c>
      <c r="D147" s="17">
        <f>IF(A147="","",(Calculator!$B$11+C147)*Calculator!$B$5)</f>
        <v/>
      </c>
      <c r="E147" s="12">
        <f>IF(A147="","",IF(Calculator!$B$17=1,ROUNDUP(D147*Calculator!$B$8/3600/Calculator!$B$24-0.000000001,0),D147*Calculator!$B$8/3600/Calculator!$B$24))</f>
        <v/>
      </c>
      <c r="F147" s="16">
        <f>IF(A147="","",IF(Calculator!$B$16=1,Calculator!$B$27,A147)*Calculator!$B$5*Calculator!$B$15)</f>
        <v/>
      </c>
      <c r="G147" s="16">
        <f>IF(A147="","",E147*Calculator!$B$6+Calculator!$C$37+F147+Calculator!$B$30)</f>
        <v/>
      </c>
      <c r="H147" s="16">
        <f>IF(A147="","",Calculator!$B$40-G147)</f>
        <v/>
      </c>
      <c r="I147" s="17">
        <f>IF(A147="","",A147*Calculator!$B$5*Calculator!$B$8/3600)</f>
        <v/>
      </c>
      <c r="J147" s="12">
        <f>IF(A147="","",Calculator!$B$35-E147)</f>
        <v/>
      </c>
    </row>
    <row r="148">
      <c r="A148" s="15">
        <f>IF(146/1000&lt;=Calculator!$B$27+0.0000001,146/1000,"")</f>
        <v/>
      </c>
      <c r="B148" s="15">
        <f>IF(A148="","",A148/Calculator!$B$27)</f>
        <v/>
      </c>
      <c r="C148" s="15">
        <f>IF(A148="","",Calculator!$B$27-A148)</f>
        <v/>
      </c>
      <c r="D148" s="17">
        <f>IF(A148="","",(Calculator!$B$11+C148)*Calculator!$B$5)</f>
        <v/>
      </c>
      <c r="E148" s="12">
        <f>IF(A148="","",IF(Calculator!$B$17=1,ROUNDUP(D148*Calculator!$B$8/3600/Calculator!$B$24-0.000000001,0),D148*Calculator!$B$8/3600/Calculator!$B$24))</f>
        <v/>
      </c>
      <c r="F148" s="16">
        <f>IF(A148="","",IF(Calculator!$B$16=1,Calculator!$B$27,A148)*Calculator!$B$5*Calculator!$B$15)</f>
        <v/>
      </c>
      <c r="G148" s="16">
        <f>IF(A148="","",E148*Calculator!$B$6+Calculator!$C$37+F148+Calculator!$B$30)</f>
        <v/>
      </c>
      <c r="H148" s="16">
        <f>IF(A148="","",Calculator!$B$40-G148)</f>
        <v/>
      </c>
      <c r="I148" s="17">
        <f>IF(A148="","",A148*Calculator!$B$5*Calculator!$B$8/3600)</f>
        <v/>
      </c>
      <c r="J148" s="12">
        <f>IF(A148="","",Calculator!$B$35-E148)</f>
        <v/>
      </c>
    </row>
    <row r="149">
      <c r="A149" s="15">
        <f>IF(147/1000&lt;=Calculator!$B$27+0.0000001,147/1000,"")</f>
        <v/>
      </c>
      <c r="B149" s="15">
        <f>IF(A149="","",A149/Calculator!$B$27)</f>
        <v/>
      </c>
      <c r="C149" s="15">
        <f>IF(A149="","",Calculator!$B$27-A149)</f>
        <v/>
      </c>
      <c r="D149" s="17">
        <f>IF(A149="","",(Calculator!$B$11+C149)*Calculator!$B$5)</f>
        <v/>
      </c>
      <c r="E149" s="12">
        <f>IF(A149="","",IF(Calculator!$B$17=1,ROUNDUP(D149*Calculator!$B$8/3600/Calculator!$B$24-0.000000001,0),D149*Calculator!$B$8/3600/Calculator!$B$24))</f>
        <v/>
      </c>
      <c r="F149" s="16">
        <f>IF(A149="","",IF(Calculator!$B$16=1,Calculator!$B$27,A149)*Calculator!$B$5*Calculator!$B$15)</f>
        <v/>
      </c>
      <c r="G149" s="16">
        <f>IF(A149="","",E149*Calculator!$B$6+Calculator!$C$37+F149+Calculator!$B$30)</f>
        <v/>
      </c>
      <c r="H149" s="16">
        <f>IF(A149="","",Calculator!$B$40-G149)</f>
        <v/>
      </c>
      <c r="I149" s="17">
        <f>IF(A149="","",A149*Calculator!$B$5*Calculator!$B$8/3600)</f>
        <v/>
      </c>
      <c r="J149" s="12">
        <f>IF(A149="","",Calculator!$B$35-E149)</f>
        <v/>
      </c>
    </row>
    <row r="150">
      <c r="A150" s="15">
        <f>IF(148/1000&lt;=Calculator!$B$27+0.0000001,148/1000,"")</f>
        <v/>
      </c>
      <c r="B150" s="15">
        <f>IF(A150="","",A150/Calculator!$B$27)</f>
        <v/>
      </c>
      <c r="C150" s="15">
        <f>IF(A150="","",Calculator!$B$27-A150)</f>
        <v/>
      </c>
      <c r="D150" s="17">
        <f>IF(A150="","",(Calculator!$B$11+C150)*Calculator!$B$5)</f>
        <v/>
      </c>
      <c r="E150" s="12">
        <f>IF(A150="","",IF(Calculator!$B$17=1,ROUNDUP(D150*Calculator!$B$8/3600/Calculator!$B$24-0.000000001,0),D150*Calculator!$B$8/3600/Calculator!$B$24))</f>
        <v/>
      </c>
      <c r="F150" s="16">
        <f>IF(A150="","",IF(Calculator!$B$16=1,Calculator!$B$27,A150)*Calculator!$B$5*Calculator!$B$15)</f>
        <v/>
      </c>
      <c r="G150" s="16">
        <f>IF(A150="","",E150*Calculator!$B$6+Calculator!$C$37+F150+Calculator!$B$30)</f>
        <v/>
      </c>
      <c r="H150" s="16">
        <f>IF(A150="","",Calculator!$B$40-G150)</f>
        <v/>
      </c>
      <c r="I150" s="17">
        <f>IF(A150="","",A150*Calculator!$B$5*Calculator!$B$8/3600)</f>
        <v/>
      </c>
      <c r="J150" s="12">
        <f>IF(A150="","",Calculator!$B$35-E150)</f>
        <v/>
      </c>
    </row>
    <row r="151">
      <c r="A151" s="15">
        <f>IF(149/1000&lt;=Calculator!$B$27+0.0000001,149/1000,"")</f>
        <v/>
      </c>
      <c r="B151" s="15">
        <f>IF(A151="","",A151/Calculator!$B$27)</f>
        <v/>
      </c>
      <c r="C151" s="15">
        <f>IF(A151="","",Calculator!$B$27-A151)</f>
        <v/>
      </c>
      <c r="D151" s="17">
        <f>IF(A151="","",(Calculator!$B$11+C151)*Calculator!$B$5)</f>
        <v/>
      </c>
      <c r="E151" s="12">
        <f>IF(A151="","",IF(Calculator!$B$17=1,ROUNDUP(D151*Calculator!$B$8/3600/Calculator!$B$24-0.000000001,0),D151*Calculator!$B$8/3600/Calculator!$B$24))</f>
        <v/>
      </c>
      <c r="F151" s="16">
        <f>IF(A151="","",IF(Calculator!$B$16=1,Calculator!$B$27,A151)*Calculator!$B$5*Calculator!$B$15)</f>
        <v/>
      </c>
      <c r="G151" s="16">
        <f>IF(A151="","",E151*Calculator!$B$6+Calculator!$C$37+F151+Calculator!$B$30)</f>
        <v/>
      </c>
      <c r="H151" s="16">
        <f>IF(A151="","",Calculator!$B$40-G151)</f>
        <v/>
      </c>
      <c r="I151" s="17">
        <f>IF(A151="","",A151*Calculator!$B$5*Calculator!$B$8/3600)</f>
        <v/>
      </c>
      <c r="J151" s="12">
        <f>IF(A151="","",Calculator!$B$35-E151)</f>
        <v/>
      </c>
    </row>
    <row r="152">
      <c r="A152" s="15">
        <f>IF(150/1000&lt;=Calculator!$B$27+0.0000001,150/1000,"")</f>
        <v/>
      </c>
      <c r="B152" s="15">
        <f>IF(A152="","",A152/Calculator!$B$27)</f>
        <v/>
      </c>
      <c r="C152" s="15">
        <f>IF(A152="","",Calculator!$B$27-A152)</f>
        <v/>
      </c>
      <c r="D152" s="17">
        <f>IF(A152="","",(Calculator!$B$11+C152)*Calculator!$B$5)</f>
        <v/>
      </c>
      <c r="E152" s="12">
        <f>IF(A152="","",IF(Calculator!$B$17=1,ROUNDUP(D152*Calculator!$B$8/3600/Calculator!$B$24-0.000000001,0),D152*Calculator!$B$8/3600/Calculator!$B$24))</f>
        <v/>
      </c>
      <c r="F152" s="16">
        <f>IF(A152="","",IF(Calculator!$B$16=1,Calculator!$B$27,A152)*Calculator!$B$5*Calculator!$B$15)</f>
        <v/>
      </c>
      <c r="G152" s="16">
        <f>IF(A152="","",E152*Calculator!$B$6+Calculator!$C$37+F152+Calculator!$B$30)</f>
        <v/>
      </c>
      <c r="H152" s="16">
        <f>IF(A152="","",Calculator!$B$40-G152)</f>
        <v/>
      </c>
      <c r="I152" s="17">
        <f>IF(A152="","",A152*Calculator!$B$5*Calculator!$B$8/3600)</f>
        <v/>
      </c>
      <c r="J152" s="12">
        <f>IF(A152="","",Calculator!$B$35-E152)</f>
        <v/>
      </c>
    </row>
    <row r="153">
      <c r="A153" s="15">
        <f>IF(151/1000&lt;=Calculator!$B$27+0.0000001,151/1000,"")</f>
        <v/>
      </c>
      <c r="B153" s="15">
        <f>IF(A153="","",A153/Calculator!$B$27)</f>
        <v/>
      </c>
      <c r="C153" s="15">
        <f>IF(A153="","",Calculator!$B$27-A153)</f>
        <v/>
      </c>
      <c r="D153" s="17">
        <f>IF(A153="","",(Calculator!$B$11+C153)*Calculator!$B$5)</f>
        <v/>
      </c>
      <c r="E153" s="12">
        <f>IF(A153="","",IF(Calculator!$B$17=1,ROUNDUP(D153*Calculator!$B$8/3600/Calculator!$B$24-0.000000001,0),D153*Calculator!$B$8/3600/Calculator!$B$24))</f>
        <v/>
      </c>
      <c r="F153" s="16">
        <f>IF(A153="","",IF(Calculator!$B$16=1,Calculator!$B$27,A153)*Calculator!$B$5*Calculator!$B$15)</f>
        <v/>
      </c>
      <c r="G153" s="16">
        <f>IF(A153="","",E153*Calculator!$B$6+Calculator!$C$37+F153+Calculator!$B$30)</f>
        <v/>
      </c>
      <c r="H153" s="16">
        <f>IF(A153="","",Calculator!$B$40-G153)</f>
        <v/>
      </c>
      <c r="I153" s="17">
        <f>IF(A153="","",A153*Calculator!$B$5*Calculator!$B$8/3600)</f>
        <v/>
      </c>
      <c r="J153" s="12">
        <f>IF(A153="","",Calculator!$B$35-E153)</f>
        <v/>
      </c>
    </row>
    <row r="154">
      <c r="A154" s="15">
        <f>IF(152/1000&lt;=Calculator!$B$27+0.0000001,152/1000,"")</f>
        <v/>
      </c>
      <c r="B154" s="15">
        <f>IF(A154="","",A154/Calculator!$B$27)</f>
        <v/>
      </c>
      <c r="C154" s="15">
        <f>IF(A154="","",Calculator!$B$27-A154)</f>
        <v/>
      </c>
      <c r="D154" s="17">
        <f>IF(A154="","",(Calculator!$B$11+C154)*Calculator!$B$5)</f>
        <v/>
      </c>
      <c r="E154" s="12">
        <f>IF(A154="","",IF(Calculator!$B$17=1,ROUNDUP(D154*Calculator!$B$8/3600/Calculator!$B$24-0.000000001,0),D154*Calculator!$B$8/3600/Calculator!$B$24))</f>
        <v/>
      </c>
      <c r="F154" s="16">
        <f>IF(A154="","",IF(Calculator!$B$16=1,Calculator!$B$27,A154)*Calculator!$B$5*Calculator!$B$15)</f>
        <v/>
      </c>
      <c r="G154" s="16">
        <f>IF(A154="","",E154*Calculator!$B$6+Calculator!$C$37+F154+Calculator!$B$30)</f>
        <v/>
      </c>
      <c r="H154" s="16">
        <f>IF(A154="","",Calculator!$B$40-G154)</f>
        <v/>
      </c>
      <c r="I154" s="17">
        <f>IF(A154="","",A154*Calculator!$B$5*Calculator!$B$8/3600)</f>
        <v/>
      </c>
      <c r="J154" s="12">
        <f>IF(A154="","",Calculator!$B$35-E154)</f>
        <v/>
      </c>
    </row>
    <row r="155">
      <c r="A155" s="15">
        <f>IF(153/1000&lt;=Calculator!$B$27+0.0000001,153/1000,"")</f>
        <v/>
      </c>
      <c r="B155" s="15">
        <f>IF(A155="","",A155/Calculator!$B$27)</f>
        <v/>
      </c>
      <c r="C155" s="15">
        <f>IF(A155="","",Calculator!$B$27-A155)</f>
        <v/>
      </c>
      <c r="D155" s="17">
        <f>IF(A155="","",(Calculator!$B$11+C155)*Calculator!$B$5)</f>
        <v/>
      </c>
      <c r="E155" s="12">
        <f>IF(A155="","",IF(Calculator!$B$17=1,ROUNDUP(D155*Calculator!$B$8/3600/Calculator!$B$24-0.000000001,0),D155*Calculator!$B$8/3600/Calculator!$B$24))</f>
        <v/>
      </c>
      <c r="F155" s="16">
        <f>IF(A155="","",IF(Calculator!$B$16=1,Calculator!$B$27,A155)*Calculator!$B$5*Calculator!$B$15)</f>
        <v/>
      </c>
      <c r="G155" s="16">
        <f>IF(A155="","",E155*Calculator!$B$6+Calculator!$C$37+F155+Calculator!$B$30)</f>
        <v/>
      </c>
      <c r="H155" s="16">
        <f>IF(A155="","",Calculator!$B$40-G155)</f>
        <v/>
      </c>
      <c r="I155" s="17">
        <f>IF(A155="","",A155*Calculator!$B$5*Calculator!$B$8/3600)</f>
        <v/>
      </c>
      <c r="J155" s="12">
        <f>IF(A155="","",Calculator!$B$35-E155)</f>
        <v/>
      </c>
    </row>
    <row r="156">
      <c r="A156" s="15">
        <f>IF(154/1000&lt;=Calculator!$B$27+0.0000001,154/1000,"")</f>
        <v/>
      </c>
      <c r="B156" s="15">
        <f>IF(A156="","",A156/Calculator!$B$27)</f>
        <v/>
      </c>
      <c r="C156" s="15">
        <f>IF(A156="","",Calculator!$B$27-A156)</f>
        <v/>
      </c>
      <c r="D156" s="17">
        <f>IF(A156="","",(Calculator!$B$11+C156)*Calculator!$B$5)</f>
        <v/>
      </c>
      <c r="E156" s="12">
        <f>IF(A156="","",IF(Calculator!$B$17=1,ROUNDUP(D156*Calculator!$B$8/3600/Calculator!$B$24-0.000000001,0),D156*Calculator!$B$8/3600/Calculator!$B$24))</f>
        <v/>
      </c>
      <c r="F156" s="16">
        <f>IF(A156="","",IF(Calculator!$B$16=1,Calculator!$B$27,A156)*Calculator!$B$5*Calculator!$B$15)</f>
        <v/>
      </c>
      <c r="G156" s="16">
        <f>IF(A156="","",E156*Calculator!$B$6+Calculator!$C$37+F156+Calculator!$B$30)</f>
        <v/>
      </c>
      <c r="H156" s="16">
        <f>IF(A156="","",Calculator!$B$40-G156)</f>
        <v/>
      </c>
      <c r="I156" s="17">
        <f>IF(A156="","",A156*Calculator!$B$5*Calculator!$B$8/3600)</f>
        <v/>
      </c>
      <c r="J156" s="12">
        <f>IF(A156="","",Calculator!$B$35-E156)</f>
        <v/>
      </c>
    </row>
    <row r="157">
      <c r="A157" s="15">
        <f>IF(155/1000&lt;=Calculator!$B$27+0.0000001,155/1000,"")</f>
        <v/>
      </c>
      <c r="B157" s="15">
        <f>IF(A157="","",A157/Calculator!$B$27)</f>
        <v/>
      </c>
      <c r="C157" s="15">
        <f>IF(A157="","",Calculator!$B$27-A157)</f>
        <v/>
      </c>
      <c r="D157" s="17">
        <f>IF(A157="","",(Calculator!$B$11+C157)*Calculator!$B$5)</f>
        <v/>
      </c>
      <c r="E157" s="12">
        <f>IF(A157="","",IF(Calculator!$B$17=1,ROUNDUP(D157*Calculator!$B$8/3600/Calculator!$B$24-0.000000001,0),D157*Calculator!$B$8/3600/Calculator!$B$24))</f>
        <v/>
      </c>
      <c r="F157" s="16">
        <f>IF(A157="","",IF(Calculator!$B$16=1,Calculator!$B$27,A157)*Calculator!$B$5*Calculator!$B$15)</f>
        <v/>
      </c>
      <c r="G157" s="16">
        <f>IF(A157="","",E157*Calculator!$B$6+Calculator!$C$37+F157+Calculator!$B$30)</f>
        <v/>
      </c>
      <c r="H157" s="16">
        <f>IF(A157="","",Calculator!$B$40-G157)</f>
        <v/>
      </c>
      <c r="I157" s="17">
        <f>IF(A157="","",A157*Calculator!$B$5*Calculator!$B$8/3600)</f>
        <v/>
      </c>
      <c r="J157" s="12">
        <f>IF(A157="","",Calculator!$B$35-E157)</f>
        <v/>
      </c>
    </row>
    <row r="158">
      <c r="A158" s="15">
        <f>IF(156/1000&lt;=Calculator!$B$27+0.0000001,156/1000,"")</f>
        <v/>
      </c>
      <c r="B158" s="15">
        <f>IF(A158="","",A158/Calculator!$B$27)</f>
        <v/>
      </c>
      <c r="C158" s="15">
        <f>IF(A158="","",Calculator!$B$27-A158)</f>
        <v/>
      </c>
      <c r="D158" s="17">
        <f>IF(A158="","",(Calculator!$B$11+C158)*Calculator!$B$5)</f>
        <v/>
      </c>
      <c r="E158" s="12">
        <f>IF(A158="","",IF(Calculator!$B$17=1,ROUNDUP(D158*Calculator!$B$8/3600/Calculator!$B$24-0.000000001,0),D158*Calculator!$B$8/3600/Calculator!$B$24))</f>
        <v/>
      </c>
      <c r="F158" s="16">
        <f>IF(A158="","",IF(Calculator!$B$16=1,Calculator!$B$27,A158)*Calculator!$B$5*Calculator!$B$15)</f>
        <v/>
      </c>
      <c r="G158" s="16">
        <f>IF(A158="","",E158*Calculator!$B$6+Calculator!$C$37+F158+Calculator!$B$30)</f>
        <v/>
      </c>
      <c r="H158" s="16">
        <f>IF(A158="","",Calculator!$B$40-G158)</f>
        <v/>
      </c>
      <c r="I158" s="17">
        <f>IF(A158="","",A158*Calculator!$B$5*Calculator!$B$8/3600)</f>
        <v/>
      </c>
      <c r="J158" s="12">
        <f>IF(A158="","",Calculator!$B$35-E158)</f>
        <v/>
      </c>
    </row>
    <row r="159">
      <c r="A159" s="15">
        <f>IF(157/1000&lt;=Calculator!$B$27+0.0000001,157/1000,"")</f>
        <v/>
      </c>
      <c r="B159" s="15">
        <f>IF(A159="","",A159/Calculator!$B$27)</f>
        <v/>
      </c>
      <c r="C159" s="15">
        <f>IF(A159="","",Calculator!$B$27-A159)</f>
        <v/>
      </c>
      <c r="D159" s="17">
        <f>IF(A159="","",(Calculator!$B$11+C159)*Calculator!$B$5)</f>
        <v/>
      </c>
      <c r="E159" s="12">
        <f>IF(A159="","",IF(Calculator!$B$17=1,ROUNDUP(D159*Calculator!$B$8/3600/Calculator!$B$24-0.000000001,0),D159*Calculator!$B$8/3600/Calculator!$B$24))</f>
        <v/>
      </c>
      <c r="F159" s="16">
        <f>IF(A159="","",IF(Calculator!$B$16=1,Calculator!$B$27,A159)*Calculator!$B$5*Calculator!$B$15)</f>
        <v/>
      </c>
      <c r="G159" s="16">
        <f>IF(A159="","",E159*Calculator!$B$6+Calculator!$C$37+F159+Calculator!$B$30)</f>
        <v/>
      </c>
      <c r="H159" s="16">
        <f>IF(A159="","",Calculator!$B$40-G159)</f>
        <v/>
      </c>
      <c r="I159" s="17">
        <f>IF(A159="","",A159*Calculator!$B$5*Calculator!$B$8/3600)</f>
        <v/>
      </c>
      <c r="J159" s="12">
        <f>IF(A159="","",Calculator!$B$35-E159)</f>
        <v/>
      </c>
    </row>
    <row r="160">
      <c r="A160" s="15">
        <f>IF(158/1000&lt;=Calculator!$B$27+0.0000001,158/1000,"")</f>
        <v/>
      </c>
      <c r="B160" s="15">
        <f>IF(A160="","",A160/Calculator!$B$27)</f>
        <v/>
      </c>
      <c r="C160" s="15">
        <f>IF(A160="","",Calculator!$B$27-A160)</f>
        <v/>
      </c>
      <c r="D160" s="17">
        <f>IF(A160="","",(Calculator!$B$11+C160)*Calculator!$B$5)</f>
        <v/>
      </c>
      <c r="E160" s="12">
        <f>IF(A160="","",IF(Calculator!$B$17=1,ROUNDUP(D160*Calculator!$B$8/3600/Calculator!$B$24-0.000000001,0),D160*Calculator!$B$8/3600/Calculator!$B$24))</f>
        <v/>
      </c>
      <c r="F160" s="16">
        <f>IF(A160="","",IF(Calculator!$B$16=1,Calculator!$B$27,A160)*Calculator!$B$5*Calculator!$B$15)</f>
        <v/>
      </c>
      <c r="G160" s="16">
        <f>IF(A160="","",E160*Calculator!$B$6+Calculator!$C$37+F160+Calculator!$B$30)</f>
        <v/>
      </c>
      <c r="H160" s="16">
        <f>IF(A160="","",Calculator!$B$40-G160)</f>
        <v/>
      </c>
      <c r="I160" s="17">
        <f>IF(A160="","",A160*Calculator!$B$5*Calculator!$B$8/3600)</f>
        <v/>
      </c>
      <c r="J160" s="12">
        <f>IF(A160="","",Calculator!$B$35-E160)</f>
        <v/>
      </c>
    </row>
    <row r="161">
      <c r="A161" s="15">
        <f>IF(159/1000&lt;=Calculator!$B$27+0.0000001,159/1000,"")</f>
        <v/>
      </c>
      <c r="B161" s="15">
        <f>IF(A161="","",A161/Calculator!$B$27)</f>
        <v/>
      </c>
      <c r="C161" s="15">
        <f>IF(A161="","",Calculator!$B$27-A161)</f>
        <v/>
      </c>
      <c r="D161" s="17">
        <f>IF(A161="","",(Calculator!$B$11+C161)*Calculator!$B$5)</f>
        <v/>
      </c>
      <c r="E161" s="12">
        <f>IF(A161="","",IF(Calculator!$B$17=1,ROUNDUP(D161*Calculator!$B$8/3600/Calculator!$B$24-0.000000001,0),D161*Calculator!$B$8/3600/Calculator!$B$24))</f>
        <v/>
      </c>
      <c r="F161" s="16">
        <f>IF(A161="","",IF(Calculator!$B$16=1,Calculator!$B$27,A161)*Calculator!$B$5*Calculator!$B$15)</f>
        <v/>
      </c>
      <c r="G161" s="16">
        <f>IF(A161="","",E161*Calculator!$B$6+Calculator!$C$37+F161+Calculator!$B$30)</f>
        <v/>
      </c>
      <c r="H161" s="16">
        <f>IF(A161="","",Calculator!$B$40-G161)</f>
        <v/>
      </c>
      <c r="I161" s="17">
        <f>IF(A161="","",A161*Calculator!$B$5*Calculator!$B$8/3600)</f>
        <v/>
      </c>
      <c r="J161" s="12">
        <f>IF(A161="","",Calculator!$B$35-E161)</f>
        <v/>
      </c>
    </row>
    <row r="162">
      <c r="A162" s="15">
        <f>IF(160/1000&lt;=Calculator!$B$27+0.0000001,160/1000,"")</f>
        <v/>
      </c>
      <c r="B162" s="15">
        <f>IF(A162="","",A162/Calculator!$B$27)</f>
        <v/>
      </c>
      <c r="C162" s="15">
        <f>IF(A162="","",Calculator!$B$27-A162)</f>
        <v/>
      </c>
      <c r="D162" s="17">
        <f>IF(A162="","",(Calculator!$B$11+C162)*Calculator!$B$5)</f>
        <v/>
      </c>
      <c r="E162" s="12">
        <f>IF(A162="","",IF(Calculator!$B$17=1,ROUNDUP(D162*Calculator!$B$8/3600/Calculator!$B$24-0.000000001,0),D162*Calculator!$B$8/3600/Calculator!$B$24))</f>
        <v/>
      </c>
      <c r="F162" s="16">
        <f>IF(A162="","",IF(Calculator!$B$16=1,Calculator!$B$27,A162)*Calculator!$B$5*Calculator!$B$15)</f>
        <v/>
      </c>
      <c r="G162" s="16">
        <f>IF(A162="","",E162*Calculator!$B$6+Calculator!$C$37+F162+Calculator!$B$30)</f>
        <v/>
      </c>
      <c r="H162" s="16">
        <f>IF(A162="","",Calculator!$B$40-G162)</f>
        <v/>
      </c>
      <c r="I162" s="17">
        <f>IF(A162="","",A162*Calculator!$B$5*Calculator!$B$8/3600)</f>
        <v/>
      </c>
      <c r="J162" s="12">
        <f>IF(A162="","",Calculator!$B$35-E162)</f>
        <v/>
      </c>
    </row>
    <row r="163">
      <c r="A163" s="15">
        <f>IF(161/1000&lt;=Calculator!$B$27+0.0000001,161/1000,"")</f>
        <v/>
      </c>
      <c r="B163" s="15">
        <f>IF(A163="","",A163/Calculator!$B$27)</f>
        <v/>
      </c>
      <c r="C163" s="15">
        <f>IF(A163="","",Calculator!$B$27-A163)</f>
        <v/>
      </c>
      <c r="D163" s="17">
        <f>IF(A163="","",(Calculator!$B$11+C163)*Calculator!$B$5)</f>
        <v/>
      </c>
      <c r="E163" s="12">
        <f>IF(A163="","",IF(Calculator!$B$17=1,ROUNDUP(D163*Calculator!$B$8/3600/Calculator!$B$24-0.000000001,0),D163*Calculator!$B$8/3600/Calculator!$B$24))</f>
        <v/>
      </c>
      <c r="F163" s="16">
        <f>IF(A163="","",IF(Calculator!$B$16=1,Calculator!$B$27,A163)*Calculator!$B$5*Calculator!$B$15)</f>
        <v/>
      </c>
      <c r="G163" s="16">
        <f>IF(A163="","",E163*Calculator!$B$6+Calculator!$C$37+F163+Calculator!$B$30)</f>
        <v/>
      </c>
      <c r="H163" s="16">
        <f>IF(A163="","",Calculator!$B$40-G163)</f>
        <v/>
      </c>
      <c r="I163" s="17">
        <f>IF(A163="","",A163*Calculator!$B$5*Calculator!$B$8/3600)</f>
        <v/>
      </c>
      <c r="J163" s="12">
        <f>IF(A163="","",Calculator!$B$35-E163)</f>
        <v/>
      </c>
    </row>
    <row r="164">
      <c r="A164" s="15">
        <f>IF(162/1000&lt;=Calculator!$B$27+0.0000001,162/1000,"")</f>
        <v/>
      </c>
      <c r="B164" s="15">
        <f>IF(A164="","",A164/Calculator!$B$27)</f>
        <v/>
      </c>
      <c r="C164" s="15">
        <f>IF(A164="","",Calculator!$B$27-A164)</f>
        <v/>
      </c>
      <c r="D164" s="17">
        <f>IF(A164="","",(Calculator!$B$11+C164)*Calculator!$B$5)</f>
        <v/>
      </c>
      <c r="E164" s="12">
        <f>IF(A164="","",IF(Calculator!$B$17=1,ROUNDUP(D164*Calculator!$B$8/3600/Calculator!$B$24-0.000000001,0),D164*Calculator!$B$8/3600/Calculator!$B$24))</f>
        <v/>
      </c>
      <c r="F164" s="16">
        <f>IF(A164="","",IF(Calculator!$B$16=1,Calculator!$B$27,A164)*Calculator!$B$5*Calculator!$B$15)</f>
        <v/>
      </c>
      <c r="G164" s="16">
        <f>IF(A164="","",E164*Calculator!$B$6+Calculator!$C$37+F164+Calculator!$B$30)</f>
        <v/>
      </c>
      <c r="H164" s="16">
        <f>IF(A164="","",Calculator!$B$40-G164)</f>
        <v/>
      </c>
      <c r="I164" s="17">
        <f>IF(A164="","",A164*Calculator!$B$5*Calculator!$B$8/3600)</f>
        <v/>
      </c>
      <c r="J164" s="12">
        <f>IF(A164="","",Calculator!$B$35-E164)</f>
        <v/>
      </c>
    </row>
    <row r="165">
      <c r="A165" s="15">
        <f>IF(163/1000&lt;=Calculator!$B$27+0.0000001,163/1000,"")</f>
        <v/>
      </c>
      <c r="B165" s="15">
        <f>IF(A165="","",A165/Calculator!$B$27)</f>
        <v/>
      </c>
      <c r="C165" s="15">
        <f>IF(A165="","",Calculator!$B$27-A165)</f>
        <v/>
      </c>
      <c r="D165" s="17">
        <f>IF(A165="","",(Calculator!$B$11+C165)*Calculator!$B$5)</f>
        <v/>
      </c>
      <c r="E165" s="12">
        <f>IF(A165="","",IF(Calculator!$B$17=1,ROUNDUP(D165*Calculator!$B$8/3600/Calculator!$B$24-0.000000001,0),D165*Calculator!$B$8/3600/Calculator!$B$24))</f>
        <v/>
      </c>
      <c r="F165" s="16">
        <f>IF(A165="","",IF(Calculator!$B$16=1,Calculator!$B$27,A165)*Calculator!$B$5*Calculator!$B$15)</f>
        <v/>
      </c>
      <c r="G165" s="16">
        <f>IF(A165="","",E165*Calculator!$B$6+Calculator!$C$37+F165+Calculator!$B$30)</f>
        <v/>
      </c>
      <c r="H165" s="16">
        <f>IF(A165="","",Calculator!$B$40-G165)</f>
        <v/>
      </c>
      <c r="I165" s="17">
        <f>IF(A165="","",A165*Calculator!$B$5*Calculator!$B$8/3600)</f>
        <v/>
      </c>
      <c r="J165" s="12">
        <f>IF(A165="","",Calculator!$B$35-E165)</f>
        <v/>
      </c>
    </row>
    <row r="166">
      <c r="A166" s="15">
        <f>IF(164/1000&lt;=Calculator!$B$27+0.0000001,164/1000,"")</f>
        <v/>
      </c>
      <c r="B166" s="15">
        <f>IF(A166="","",A166/Calculator!$B$27)</f>
        <v/>
      </c>
      <c r="C166" s="15">
        <f>IF(A166="","",Calculator!$B$27-A166)</f>
        <v/>
      </c>
      <c r="D166" s="17">
        <f>IF(A166="","",(Calculator!$B$11+C166)*Calculator!$B$5)</f>
        <v/>
      </c>
      <c r="E166" s="12">
        <f>IF(A166="","",IF(Calculator!$B$17=1,ROUNDUP(D166*Calculator!$B$8/3600/Calculator!$B$24-0.000000001,0),D166*Calculator!$B$8/3600/Calculator!$B$24))</f>
        <v/>
      </c>
      <c r="F166" s="16">
        <f>IF(A166="","",IF(Calculator!$B$16=1,Calculator!$B$27,A166)*Calculator!$B$5*Calculator!$B$15)</f>
        <v/>
      </c>
      <c r="G166" s="16">
        <f>IF(A166="","",E166*Calculator!$B$6+Calculator!$C$37+F166+Calculator!$B$30)</f>
        <v/>
      </c>
      <c r="H166" s="16">
        <f>IF(A166="","",Calculator!$B$40-G166)</f>
        <v/>
      </c>
      <c r="I166" s="17">
        <f>IF(A166="","",A166*Calculator!$B$5*Calculator!$B$8/3600)</f>
        <v/>
      </c>
      <c r="J166" s="12">
        <f>IF(A166="","",Calculator!$B$35-E166)</f>
        <v/>
      </c>
    </row>
    <row r="167">
      <c r="A167" s="15">
        <f>IF(165/1000&lt;=Calculator!$B$27+0.0000001,165/1000,"")</f>
        <v/>
      </c>
      <c r="B167" s="15">
        <f>IF(A167="","",A167/Calculator!$B$27)</f>
        <v/>
      </c>
      <c r="C167" s="15">
        <f>IF(A167="","",Calculator!$B$27-A167)</f>
        <v/>
      </c>
      <c r="D167" s="17">
        <f>IF(A167="","",(Calculator!$B$11+C167)*Calculator!$B$5)</f>
        <v/>
      </c>
      <c r="E167" s="12">
        <f>IF(A167="","",IF(Calculator!$B$17=1,ROUNDUP(D167*Calculator!$B$8/3600/Calculator!$B$24-0.000000001,0),D167*Calculator!$B$8/3600/Calculator!$B$24))</f>
        <v/>
      </c>
      <c r="F167" s="16">
        <f>IF(A167="","",IF(Calculator!$B$16=1,Calculator!$B$27,A167)*Calculator!$B$5*Calculator!$B$15)</f>
        <v/>
      </c>
      <c r="G167" s="16">
        <f>IF(A167="","",E167*Calculator!$B$6+Calculator!$C$37+F167+Calculator!$B$30)</f>
        <v/>
      </c>
      <c r="H167" s="16">
        <f>IF(A167="","",Calculator!$B$40-G167)</f>
        <v/>
      </c>
      <c r="I167" s="17">
        <f>IF(A167="","",A167*Calculator!$B$5*Calculator!$B$8/3600)</f>
        <v/>
      </c>
      <c r="J167" s="12">
        <f>IF(A167="","",Calculator!$B$35-E167)</f>
        <v/>
      </c>
    </row>
    <row r="168">
      <c r="A168" s="15">
        <f>IF(166/1000&lt;=Calculator!$B$27+0.0000001,166/1000,"")</f>
        <v/>
      </c>
      <c r="B168" s="15">
        <f>IF(A168="","",A168/Calculator!$B$27)</f>
        <v/>
      </c>
      <c r="C168" s="15">
        <f>IF(A168="","",Calculator!$B$27-A168)</f>
        <v/>
      </c>
      <c r="D168" s="17">
        <f>IF(A168="","",(Calculator!$B$11+C168)*Calculator!$B$5)</f>
        <v/>
      </c>
      <c r="E168" s="12">
        <f>IF(A168="","",IF(Calculator!$B$17=1,ROUNDUP(D168*Calculator!$B$8/3600/Calculator!$B$24-0.000000001,0),D168*Calculator!$B$8/3600/Calculator!$B$24))</f>
        <v/>
      </c>
      <c r="F168" s="16">
        <f>IF(A168="","",IF(Calculator!$B$16=1,Calculator!$B$27,A168)*Calculator!$B$5*Calculator!$B$15)</f>
        <v/>
      </c>
      <c r="G168" s="16">
        <f>IF(A168="","",E168*Calculator!$B$6+Calculator!$C$37+F168+Calculator!$B$30)</f>
        <v/>
      </c>
      <c r="H168" s="16">
        <f>IF(A168="","",Calculator!$B$40-G168)</f>
        <v/>
      </c>
      <c r="I168" s="17">
        <f>IF(A168="","",A168*Calculator!$B$5*Calculator!$B$8/3600)</f>
        <v/>
      </c>
      <c r="J168" s="12">
        <f>IF(A168="","",Calculator!$B$35-E168)</f>
        <v/>
      </c>
    </row>
    <row r="169">
      <c r="A169" s="15">
        <f>IF(167/1000&lt;=Calculator!$B$27+0.0000001,167/1000,"")</f>
        <v/>
      </c>
      <c r="B169" s="15">
        <f>IF(A169="","",A169/Calculator!$B$27)</f>
        <v/>
      </c>
      <c r="C169" s="15">
        <f>IF(A169="","",Calculator!$B$27-A169)</f>
        <v/>
      </c>
      <c r="D169" s="17">
        <f>IF(A169="","",(Calculator!$B$11+C169)*Calculator!$B$5)</f>
        <v/>
      </c>
      <c r="E169" s="12">
        <f>IF(A169="","",IF(Calculator!$B$17=1,ROUNDUP(D169*Calculator!$B$8/3600/Calculator!$B$24-0.000000001,0),D169*Calculator!$B$8/3600/Calculator!$B$24))</f>
        <v/>
      </c>
      <c r="F169" s="16">
        <f>IF(A169="","",IF(Calculator!$B$16=1,Calculator!$B$27,A169)*Calculator!$B$5*Calculator!$B$15)</f>
        <v/>
      </c>
      <c r="G169" s="16">
        <f>IF(A169="","",E169*Calculator!$B$6+Calculator!$C$37+F169+Calculator!$B$30)</f>
        <v/>
      </c>
      <c r="H169" s="16">
        <f>IF(A169="","",Calculator!$B$40-G169)</f>
        <v/>
      </c>
      <c r="I169" s="17">
        <f>IF(A169="","",A169*Calculator!$B$5*Calculator!$B$8/3600)</f>
        <v/>
      </c>
      <c r="J169" s="12">
        <f>IF(A169="","",Calculator!$B$35-E169)</f>
        <v/>
      </c>
    </row>
    <row r="170">
      <c r="A170" s="15">
        <f>IF(168/1000&lt;=Calculator!$B$27+0.0000001,168/1000,"")</f>
        <v/>
      </c>
      <c r="B170" s="15">
        <f>IF(A170="","",A170/Calculator!$B$27)</f>
        <v/>
      </c>
      <c r="C170" s="15">
        <f>IF(A170="","",Calculator!$B$27-A170)</f>
        <v/>
      </c>
      <c r="D170" s="17">
        <f>IF(A170="","",(Calculator!$B$11+C170)*Calculator!$B$5)</f>
        <v/>
      </c>
      <c r="E170" s="12">
        <f>IF(A170="","",IF(Calculator!$B$17=1,ROUNDUP(D170*Calculator!$B$8/3600/Calculator!$B$24-0.000000001,0),D170*Calculator!$B$8/3600/Calculator!$B$24))</f>
        <v/>
      </c>
      <c r="F170" s="16">
        <f>IF(A170="","",IF(Calculator!$B$16=1,Calculator!$B$27,A170)*Calculator!$B$5*Calculator!$B$15)</f>
        <v/>
      </c>
      <c r="G170" s="16">
        <f>IF(A170="","",E170*Calculator!$B$6+Calculator!$C$37+F170+Calculator!$B$30)</f>
        <v/>
      </c>
      <c r="H170" s="16">
        <f>IF(A170="","",Calculator!$B$40-G170)</f>
        <v/>
      </c>
      <c r="I170" s="17">
        <f>IF(A170="","",A170*Calculator!$B$5*Calculator!$B$8/3600)</f>
        <v/>
      </c>
      <c r="J170" s="12">
        <f>IF(A170="","",Calculator!$B$35-E170)</f>
        <v/>
      </c>
    </row>
    <row r="171">
      <c r="A171" s="15">
        <f>IF(169/1000&lt;=Calculator!$B$27+0.0000001,169/1000,"")</f>
        <v/>
      </c>
      <c r="B171" s="15">
        <f>IF(A171="","",A171/Calculator!$B$27)</f>
        <v/>
      </c>
      <c r="C171" s="15">
        <f>IF(A171="","",Calculator!$B$27-A171)</f>
        <v/>
      </c>
      <c r="D171" s="17">
        <f>IF(A171="","",(Calculator!$B$11+C171)*Calculator!$B$5)</f>
        <v/>
      </c>
      <c r="E171" s="12">
        <f>IF(A171="","",IF(Calculator!$B$17=1,ROUNDUP(D171*Calculator!$B$8/3600/Calculator!$B$24-0.000000001,0),D171*Calculator!$B$8/3600/Calculator!$B$24))</f>
        <v/>
      </c>
      <c r="F171" s="16">
        <f>IF(A171="","",IF(Calculator!$B$16=1,Calculator!$B$27,A171)*Calculator!$B$5*Calculator!$B$15)</f>
        <v/>
      </c>
      <c r="G171" s="16">
        <f>IF(A171="","",E171*Calculator!$B$6+Calculator!$C$37+F171+Calculator!$B$30)</f>
        <v/>
      </c>
      <c r="H171" s="16">
        <f>IF(A171="","",Calculator!$B$40-G171)</f>
        <v/>
      </c>
      <c r="I171" s="17">
        <f>IF(A171="","",A171*Calculator!$B$5*Calculator!$B$8/3600)</f>
        <v/>
      </c>
      <c r="J171" s="12">
        <f>IF(A171="","",Calculator!$B$35-E171)</f>
        <v/>
      </c>
    </row>
    <row r="172">
      <c r="A172" s="15">
        <f>IF(170/1000&lt;=Calculator!$B$27+0.0000001,170/1000,"")</f>
        <v/>
      </c>
      <c r="B172" s="15">
        <f>IF(A172="","",A172/Calculator!$B$27)</f>
        <v/>
      </c>
      <c r="C172" s="15">
        <f>IF(A172="","",Calculator!$B$27-A172)</f>
        <v/>
      </c>
      <c r="D172" s="17">
        <f>IF(A172="","",(Calculator!$B$11+C172)*Calculator!$B$5)</f>
        <v/>
      </c>
      <c r="E172" s="12">
        <f>IF(A172="","",IF(Calculator!$B$17=1,ROUNDUP(D172*Calculator!$B$8/3600/Calculator!$B$24-0.000000001,0),D172*Calculator!$B$8/3600/Calculator!$B$24))</f>
        <v/>
      </c>
      <c r="F172" s="16">
        <f>IF(A172="","",IF(Calculator!$B$16=1,Calculator!$B$27,A172)*Calculator!$B$5*Calculator!$B$15)</f>
        <v/>
      </c>
      <c r="G172" s="16">
        <f>IF(A172="","",E172*Calculator!$B$6+Calculator!$C$37+F172+Calculator!$B$30)</f>
        <v/>
      </c>
      <c r="H172" s="16">
        <f>IF(A172="","",Calculator!$B$40-G172)</f>
        <v/>
      </c>
      <c r="I172" s="17">
        <f>IF(A172="","",A172*Calculator!$B$5*Calculator!$B$8/3600)</f>
        <v/>
      </c>
      <c r="J172" s="12">
        <f>IF(A172="","",Calculator!$B$35-E172)</f>
        <v/>
      </c>
    </row>
    <row r="173">
      <c r="A173" s="15">
        <f>IF(171/1000&lt;=Calculator!$B$27+0.0000001,171/1000,"")</f>
        <v/>
      </c>
      <c r="B173" s="15">
        <f>IF(A173="","",A173/Calculator!$B$27)</f>
        <v/>
      </c>
      <c r="C173" s="15">
        <f>IF(A173="","",Calculator!$B$27-A173)</f>
        <v/>
      </c>
      <c r="D173" s="17">
        <f>IF(A173="","",(Calculator!$B$11+C173)*Calculator!$B$5)</f>
        <v/>
      </c>
      <c r="E173" s="12">
        <f>IF(A173="","",IF(Calculator!$B$17=1,ROUNDUP(D173*Calculator!$B$8/3600/Calculator!$B$24-0.000000001,0),D173*Calculator!$B$8/3600/Calculator!$B$24))</f>
        <v/>
      </c>
      <c r="F173" s="16">
        <f>IF(A173="","",IF(Calculator!$B$16=1,Calculator!$B$27,A173)*Calculator!$B$5*Calculator!$B$15)</f>
        <v/>
      </c>
      <c r="G173" s="16">
        <f>IF(A173="","",E173*Calculator!$B$6+Calculator!$C$37+F173+Calculator!$B$30)</f>
        <v/>
      </c>
      <c r="H173" s="16">
        <f>IF(A173="","",Calculator!$B$40-G173)</f>
        <v/>
      </c>
      <c r="I173" s="17">
        <f>IF(A173="","",A173*Calculator!$B$5*Calculator!$B$8/3600)</f>
        <v/>
      </c>
      <c r="J173" s="12">
        <f>IF(A173="","",Calculator!$B$35-E173)</f>
        <v/>
      </c>
    </row>
    <row r="174">
      <c r="A174" s="15">
        <f>IF(172/1000&lt;=Calculator!$B$27+0.0000001,172/1000,"")</f>
        <v/>
      </c>
      <c r="B174" s="15">
        <f>IF(A174="","",A174/Calculator!$B$27)</f>
        <v/>
      </c>
      <c r="C174" s="15">
        <f>IF(A174="","",Calculator!$B$27-A174)</f>
        <v/>
      </c>
      <c r="D174" s="17">
        <f>IF(A174="","",(Calculator!$B$11+C174)*Calculator!$B$5)</f>
        <v/>
      </c>
      <c r="E174" s="12">
        <f>IF(A174="","",IF(Calculator!$B$17=1,ROUNDUP(D174*Calculator!$B$8/3600/Calculator!$B$24-0.000000001,0),D174*Calculator!$B$8/3600/Calculator!$B$24))</f>
        <v/>
      </c>
      <c r="F174" s="16">
        <f>IF(A174="","",IF(Calculator!$B$16=1,Calculator!$B$27,A174)*Calculator!$B$5*Calculator!$B$15)</f>
        <v/>
      </c>
      <c r="G174" s="16">
        <f>IF(A174="","",E174*Calculator!$B$6+Calculator!$C$37+F174+Calculator!$B$30)</f>
        <v/>
      </c>
      <c r="H174" s="16">
        <f>IF(A174="","",Calculator!$B$40-G174)</f>
        <v/>
      </c>
      <c r="I174" s="17">
        <f>IF(A174="","",A174*Calculator!$B$5*Calculator!$B$8/3600)</f>
        <v/>
      </c>
      <c r="J174" s="12">
        <f>IF(A174="","",Calculator!$B$35-E174)</f>
        <v/>
      </c>
    </row>
    <row r="175">
      <c r="A175" s="15">
        <f>IF(173/1000&lt;=Calculator!$B$27+0.0000001,173/1000,"")</f>
        <v/>
      </c>
      <c r="B175" s="15">
        <f>IF(A175="","",A175/Calculator!$B$27)</f>
        <v/>
      </c>
      <c r="C175" s="15">
        <f>IF(A175="","",Calculator!$B$27-A175)</f>
        <v/>
      </c>
      <c r="D175" s="17">
        <f>IF(A175="","",(Calculator!$B$11+C175)*Calculator!$B$5)</f>
        <v/>
      </c>
      <c r="E175" s="12">
        <f>IF(A175="","",IF(Calculator!$B$17=1,ROUNDUP(D175*Calculator!$B$8/3600/Calculator!$B$24-0.000000001,0),D175*Calculator!$B$8/3600/Calculator!$B$24))</f>
        <v/>
      </c>
      <c r="F175" s="16">
        <f>IF(A175="","",IF(Calculator!$B$16=1,Calculator!$B$27,A175)*Calculator!$B$5*Calculator!$B$15)</f>
        <v/>
      </c>
      <c r="G175" s="16">
        <f>IF(A175="","",E175*Calculator!$B$6+Calculator!$C$37+F175+Calculator!$B$30)</f>
        <v/>
      </c>
      <c r="H175" s="16">
        <f>IF(A175="","",Calculator!$B$40-G175)</f>
        <v/>
      </c>
      <c r="I175" s="17">
        <f>IF(A175="","",A175*Calculator!$B$5*Calculator!$B$8/3600)</f>
        <v/>
      </c>
      <c r="J175" s="12">
        <f>IF(A175="","",Calculator!$B$35-E175)</f>
        <v/>
      </c>
    </row>
    <row r="176">
      <c r="A176" s="15">
        <f>IF(174/1000&lt;=Calculator!$B$27+0.0000001,174/1000,"")</f>
        <v/>
      </c>
      <c r="B176" s="15">
        <f>IF(A176="","",A176/Calculator!$B$27)</f>
        <v/>
      </c>
      <c r="C176" s="15">
        <f>IF(A176="","",Calculator!$B$27-A176)</f>
        <v/>
      </c>
      <c r="D176" s="17">
        <f>IF(A176="","",(Calculator!$B$11+C176)*Calculator!$B$5)</f>
        <v/>
      </c>
      <c r="E176" s="12">
        <f>IF(A176="","",IF(Calculator!$B$17=1,ROUNDUP(D176*Calculator!$B$8/3600/Calculator!$B$24-0.000000001,0),D176*Calculator!$B$8/3600/Calculator!$B$24))</f>
        <v/>
      </c>
      <c r="F176" s="16">
        <f>IF(A176="","",IF(Calculator!$B$16=1,Calculator!$B$27,A176)*Calculator!$B$5*Calculator!$B$15)</f>
        <v/>
      </c>
      <c r="G176" s="16">
        <f>IF(A176="","",E176*Calculator!$B$6+Calculator!$C$37+F176+Calculator!$B$30)</f>
        <v/>
      </c>
      <c r="H176" s="16">
        <f>IF(A176="","",Calculator!$B$40-G176)</f>
        <v/>
      </c>
      <c r="I176" s="17">
        <f>IF(A176="","",A176*Calculator!$B$5*Calculator!$B$8/3600)</f>
        <v/>
      </c>
      <c r="J176" s="12">
        <f>IF(A176="","",Calculator!$B$35-E176)</f>
        <v/>
      </c>
    </row>
    <row r="177">
      <c r="A177" s="15">
        <f>IF(175/1000&lt;=Calculator!$B$27+0.0000001,175/1000,"")</f>
        <v/>
      </c>
      <c r="B177" s="15">
        <f>IF(A177="","",A177/Calculator!$B$27)</f>
        <v/>
      </c>
      <c r="C177" s="15">
        <f>IF(A177="","",Calculator!$B$27-A177)</f>
        <v/>
      </c>
      <c r="D177" s="17">
        <f>IF(A177="","",(Calculator!$B$11+C177)*Calculator!$B$5)</f>
        <v/>
      </c>
      <c r="E177" s="12">
        <f>IF(A177="","",IF(Calculator!$B$17=1,ROUNDUP(D177*Calculator!$B$8/3600/Calculator!$B$24-0.000000001,0),D177*Calculator!$B$8/3600/Calculator!$B$24))</f>
        <v/>
      </c>
      <c r="F177" s="16">
        <f>IF(A177="","",IF(Calculator!$B$16=1,Calculator!$B$27,A177)*Calculator!$B$5*Calculator!$B$15)</f>
        <v/>
      </c>
      <c r="G177" s="16">
        <f>IF(A177="","",E177*Calculator!$B$6+Calculator!$C$37+F177+Calculator!$B$30)</f>
        <v/>
      </c>
      <c r="H177" s="16">
        <f>IF(A177="","",Calculator!$B$40-G177)</f>
        <v/>
      </c>
      <c r="I177" s="17">
        <f>IF(A177="","",A177*Calculator!$B$5*Calculator!$B$8/3600)</f>
        <v/>
      </c>
      <c r="J177" s="12">
        <f>IF(A177="","",Calculator!$B$35-E177)</f>
        <v/>
      </c>
    </row>
    <row r="178">
      <c r="A178" s="15">
        <f>IF(176/1000&lt;=Calculator!$B$27+0.0000001,176/1000,"")</f>
        <v/>
      </c>
      <c r="B178" s="15">
        <f>IF(A178="","",A178/Calculator!$B$27)</f>
        <v/>
      </c>
      <c r="C178" s="15">
        <f>IF(A178="","",Calculator!$B$27-A178)</f>
        <v/>
      </c>
      <c r="D178" s="17">
        <f>IF(A178="","",(Calculator!$B$11+C178)*Calculator!$B$5)</f>
        <v/>
      </c>
      <c r="E178" s="12">
        <f>IF(A178="","",IF(Calculator!$B$17=1,ROUNDUP(D178*Calculator!$B$8/3600/Calculator!$B$24-0.000000001,0),D178*Calculator!$B$8/3600/Calculator!$B$24))</f>
        <v/>
      </c>
      <c r="F178" s="16">
        <f>IF(A178="","",IF(Calculator!$B$16=1,Calculator!$B$27,A178)*Calculator!$B$5*Calculator!$B$15)</f>
        <v/>
      </c>
      <c r="G178" s="16">
        <f>IF(A178="","",E178*Calculator!$B$6+Calculator!$C$37+F178+Calculator!$B$30)</f>
        <v/>
      </c>
      <c r="H178" s="16">
        <f>IF(A178="","",Calculator!$B$40-G178)</f>
        <v/>
      </c>
      <c r="I178" s="17">
        <f>IF(A178="","",A178*Calculator!$B$5*Calculator!$B$8/3600)</f>
        <v/>
      </c>
      <c r="J178" s="12">
        <f>IF(A178="","",Calculator!$B$35-E178)</f>
        <v/>
      </c>
    </row>
    <row r="179">
      <c r="A179" s="15">
        <f>IF(177/1000&lt;=Calculator!$B$27+0.0000001,177/1000,"")</f>
        <v/>
      </c>
      <c r="B179" s="15">
        <f>IF(A179="","",A179/Calculator!$B$27)</f>
        <v/>
      </c>
      <c r="C179" s="15">
        <f>IF(A179="","",Calculator!$B$27-A179)</f>
        <v/>
      </c>
      <c r="D179" s="17">
        <f>IF(A179="","",(Calculator!$B$11+C179)*Calculator!$B$5)</f>
        <v/>
      </c>
      <c r="E179" s="12">
        <f>IF(A179="","",IF(Calculator!$B$17=1,ROUNDUP(D179*Calculator!$B$8/3600/Calculator!$B$24-0.000000001,0),D179*Calculator!$B$8/3600/Calculator!$B$24))</f>
        <v/>
      </c>
      <c r="F179" s="16">
        <f>IF(A179="","",IF(Calculator!$B$16=1,Calculator!$B$27,A179)*Calculator!$B$5*Calculator!$B$15)</f>
        <v/>
      </c>
      <c r="G179" s="16">
        <f>IF(A179="","",E179*Calculator!$B$6+Calculator!$C$37+F179+Calculator!$B$30)</f>
        <v/>
      </c>
      <c r="H179" s="16">
        <f>IF(A179="","",Calculator!$B$40-G179)</f>
        <v/>
      </c>
      <c r="I179" s="17">
        <f>IF(A179="","",A179*Calculator!$B$5*Calculator!$B$8/3600)</f>
        <v/>
      </c>
      <c r="J179" s="12">
        <f>IF(A179="","",Calculator!$B$35-E179)</f>
        <v/>
      </c>
    </row>
    <row r="180">
      <c r="A180" s="15">
        <f>IF(178/1000&lt;=Calculator!$B$27+0.0000001,178/1000,"")</f>
        <v/>
      </c>
      <c r="B180" s="15">
        <f>IF(A180="","",A180/Calculator!$B$27)</f>
        <v/>
      </c>
      <c r="C180" s="15">
        <f>IF(A180="","",Calculator!$B$27-A180)</f>
        <v/>
      </c>
      <c r="D180" s="17">
        <f>IF(A180="","",(Calculator!$B$11+C180)*Calculator!$B$5)</f>
        <v/>
      </c>
      <c r="E180" s="12">
        <f>IF(A180="","",IF(Calculator!$B$17=1,ROUNDUP(D180*Calculator!$B$8/3600/Calculator!$B$24-0.000000001,0),D180*Calculator!$B$8/3600/Calculator!$B$24))</f>
        <v/>
      </c>
      <c r="F180" s="16">
        <f>IF(A180="","",IF(Calculator!$B$16=1,Calculator!$B$27,A180)*Calculator!$B$5*Calculator!$B$15)</f>
        <v/>
      </c>
      <c r="G180" s="16">
        <f>IF(A180="","",E180*Calculator!$B$6+Calculator!$C$37+F180+Calculator!$B$30)</f>
        <v/>
      </c>
      <c r="H180" s="16">
        <f>IF(A180="","",Calculator!$B$40-G180)</f>
        <v/>
      </c>
      <c r="I180" s="17">
        <f>IF(A180="","",A180*Calculator!$B$5*Calculator!$B$8/3600)</f>
        <v/>
      </c>
      <c r="J180" s="12">
        <f>IF(A180="","",Calculator!$B$35-E180)</f>
        <v/>
      </c>
    </row>
    <row r="181">
      <c r="A181" s="15">
        <f>IF(179/1000&lt;=Calculator!$B$27+0.0000001,179/1000,"")</f>
        <v/>
      </c>
      <c r="B181" s="15">
        <f>IF(A181="","",A181/Calculator!$B$27)</f>
        <v/>
      </c>
      <c r="C181" s="15">
        <f>IF(A181="","",Calculator!$B$27-A181)</f>
        <v/>
      </c>
      <c r="D181" s="17">
        <f>IF(A181="","",(Calculator!$B$11+C181)*Calculator!$B$5)</f>
        <v/>
      </c>
      <c r="E181" s="12">
        <f>IF(A181="","",IF(Calculator!$B$17=1,ROUNDUP(D181*Calculator!$B$8/3600/Calculator!$B$24-0.000000001,0),D181*Calculator!$B$8/3600/Calculator!$B$24))</f>
        <v/>
      </c>
      <c r="F181" s="16">
        <f>IF(A181="","",IF(Calculator!$B$16=1,Calculator!$B$27,A181)*Calculator!$B$5*Calculator!$B$15)</f>
        <v/>
      </c>
      <c r="G181" s="16">
        <f>IF(A181="","",E181*Calculator!$B$6+Calculator!$C$37+F181+Calculator!$B$30)</f>
        <v/>
      </c>
      <c r="H181" s="16">
        <f>IF(A181="","",Calculator!$B$40-G181)</f>
        <v/>
      </c>
      <c r="I181" s="17">
        <f>IF(A181="","",A181*Calculator!$B$5*Calculator!$B$8/3600)</f>
        <v/>
      </c>
      <c r="J181" s="12">
        <f>IF(A181="","",Calculator!$B$35-E181)</f>
        <v/>
      </c>
    </row>
    <row r="182">
      <c r="A182" s="15">
        <f>IF(180/1000&lt;=Calculator!$B$27+0.0000001,180/1000,"")</f>
        <v/>
      </c>
      <c r="B182" s="15">
        <f>IF(A182="","",A182/Calculator!$B$27)</f>
        <v/>
      </c>
      <c r="C182" s="15">
        <f>IF(A182="","",Calculator!$B$27-A182)</f>
        <v/>
      </c>
      <c r="D182" s="17">
        <f>IF(A182="","",(Calculator!$B$11+C182)*Calculator!$B$5)</f>
        <v/>
      </c>
      <c r="E182" s="12">
        <f>IF(A182="","",IF(Calculator!$B$17=1,ROUNDUP(D182*Calculator!$B$8/3600/Calculator!$B$24-0.000000001,0),D182*Calculator!$B$8/3600/Calculator!$B$24))</f>
        <v/>
      </c>
      <c r="F182" s="16">
        <f>IF(A182="","",IF(Calculator!$B$16=1,Calculator!$B$27,A182)*Calculator!$B$5*Calculator!$B$15)</f>
        <v/>
      </c>
      <c r="G182" s="16">
        <f>IF(A182="","",E182*Calculator!$B$6+Calculator!$C$37+F182+Calculator!$B$30)</f>
        <v/>
      </c>
      <c r="H182" s="16">
        <f>IF(A182="","",Calculator!$B$40-G182)</f>
        <v/>
      </c>
      <c r="I182" s="17">
        <f>IF(A182="","",A182*Calculator!$B$5*Calculator!$B$8/3600)</f>
        <v/>
      </c>
      <c r="J182" s="12">
        <f>IF(A182="","",Calculator!$B$35-E182)</f>
        <v/>
      </c>
    </row>
    <row r="183">
      <c r="A183" s="15">
        <f>IF(181/1000&lt;=Calculator!$B$27+0.0000001,181/1000,"")</f>
        <v/>
      </c>
      <c r="B183" s="15">
        <f>IF(A183="","",A183/Calculator!$B$27)</f>
        <v/>
      </c>
      <c r="C183" s="15">
        <f>IF(A183="","",Calculator!$B$27-A183)</f>
        <v/>
      </c>
      <c r="D183" s="17">
        <f>IF(A183="","",(Calculator!$B$11+C183)*Calculator!$B$5)</f>
        <v/>
      </c>
      <c r="E183" s="12">
        <f>IF(A183="","",IF(Calculator!$B$17=1,ROUNDUP(D183*Calculator!$B$8/3600/Calculator!$B$24-0.000000001,0),D183*Calculator!$B$8/3600/Calculator!$B$24))</f>
        <v/>
      </c>
      <c r="F183" s="16">
        <f>IF(A183="","",IF(Calculator!$B$16=1,Calculator!$B$27,A183)*Calculator!$B$5*Calculator!$B$15)</f>
        <v/>
      </c>
      <c r="G183" s="16">
        <f>IF(A183="","",E183*Calculator!$B$6+Calculator!$C$37+F183+Calculator!$B$30)</f>
        <v/>
      </c>
      <c r="H183" s="16">
        <f>IF(A183="","",Calculator!$B$40-G183)</f>
        <v/>
      </c>
      <c r="I183" s="17">
        <f>IF(A183="","",A183*Calculator!$B$5*Calculator!$B$8/3600)</f>
        <v/>
      </c>
      <c r="J183" s="12">
        <f>IF(A183="","",Calculator!$B$35-E183)</f>
        <v/>
      </c>
    </row>
    <row r="184">
      <c r="A184" s="15">
        <f>IF(182/1000&lt;=Calculator!$B$27+0.0000001,182/1000,"")</f>
        <v/>
      </c>
      <c r="B184" s="15">
        <f>IF(A184="","",A184/Calculator!$B$27)</f>
        <v/>
      </c>
      <c r="C184" s="15">
        <f>IF(A184="","",Calculator!$B$27-A184)</f>
        <v/>
      </c>
      <c r="D184" s="17">
        <f>IF(A184="","",(Calculator!$B$11+C184)*Calculator!$B$5)</f>
        <v/>
      </c>
      <c r="E184" s="12">
        <f>IF(A184="","",IF(Calculator!$B$17=1,ROUNDUP(D184*Calculator!$B$8/3600/Calculator!$B$24-0.000000001,0),D184*Calculator!$B$8/3600/Calculator!$B$24))</f>
        <v/>
      </c>
      <c r="F184" s="16">
        <f>IF(A184="","",IF(Calculator!$B$16=1,Calculator!$B$27,A184)*Calculator!$B$5*Calculator!$B$15)</f>
        <v/>
      </c>
      <c r="G184" s="16">
        <f>IF(A184="","",E184*Calculator!$B$6+Calculator!$C$37+F184+Calculator!$B$30)</f>
        <v/>
      </c>
      <c r="H184" s="16">
        <f>IF(A184="","",Calculator!$B$40-G184)</f>
        <v/>
      </c>
      <c r="I184" s="17">
        <f>IF(A184="","",A184*Calculator!$B$5*Calculator!$B$8/3600)</f>
        <v/>
      </c>
      <c r="J184" s="12">
        <f>IF(A184="","",Calculator!$B$35-E184)</f>
        <v/>
      </c>
    </row>
    <row r="185">
      <c r="A185" s="15">
        <f>IF(183/1000&lt;=Calculator!$B$27+0.0000001,183/1000,"")</f>
        <v/>
      </c>
      <c r="B185" s="15">
        <f>IF(A185="","",A185/Calculator!$B$27)</f>
        <v/>
      </c>
      <c r="C185" s="15">
        <f>IF(A185="","",Calculator!$B$27-A185)</f>
        <v/>
      </c>
      <c r="D185" s="17">
        <f>IF(A185="","",(Calculator!$B$11+C185)*Calculator!$B$5)</f>
        <v/>
      </c>
      <c r="E185" s="12">
        <f>IF(A185="","",IF(Calculator!$B$17=1,ROUNDUP(D185*Calculator!$B$8/3600/Calculator!$B$24-0.000000001,0),D185*Calculator!$B$8/3600/Calculator!$B$24))</f>
        <v/>
      </c>
      <c r="F185" s="16">
        <f>IF(A185="","",IF(Calculator!$B$16=1,Calculator!$B$27,A185)*Calculator!$B$5*Calculator!$B$15)</f>
        <v/>
      </c>
      <c r="G185" s="16">
        <f>IF(A185="","",E185*Calculator!$B$6+Calculator!$C$37+F185+Calculator!$B$30)</f>
        <v/>
      </c>
      <c r="H185" s="16">
        <f>IF(A185="","",Calculator!$B$40-G185)</f>
        <v/>
      </c>
      <c r="I185" s="17">
        <f>IF(A185="","",A185*Calculator!$B$5*Calculator!$B$8/3600)</f>
        <v/>
      </c>
      <c r="J185" s="12">
        <f>IF(A185="","",Calculator!$B$35-E185)</f>
        <v/>
      </c>
    </row>
    <row r="186">
      <c r="A186" s="15">
        <f>IF(184/1000&lt;=Calculator!$B$27+0.0000001,184/1000,"")</f>
        <v/>
      </c>
      <c r="B186" s="15">
        <f>IF(A186="","",A186/Calculator!$B$27)</f>
        <v/>
      </c>
      <c r="C186" s="15">
        <f>IF(A186="","",Calculator!$B$27-A186)</f>
        <v/>
      </c>
      <c r="D186" s="17">
        <f>IF(A186="","",(Calculator!$B$11+C186)*Calculator!$B$5)</f>
        <v/>
      </c>
      <c r="E186" s="12">
        <f>IF(A186="","",IF(Calculator!$B$17=1,ROUNDUP(D186*Calculator!$B$8/3600/Calculator!$B$24-0.000000001,0),D186*Calculator!$B$8/3600/Calculator!$B$24))</f>
        <v/>
      </c>
      <c r="F186" s="16">
        <f>IF(A186="","",IF(Calculator!$B$16=1,Calculator!$B$27,A186)*Calculator!$B$5*Calculator!$B$15)</f>
        <v/>
      </c>
      <c r="G186" s="16">
        <f>IF(A186="","",E186*Calculator!$B$6+Calculator!$C$37+F186+Calculator!$B$30)</f>
        <v/>
      </c>
      <c r="H186" s="16">
        <f>IF(A186="","",Calculator!$B$40-G186)</f>
        <v/>
      </c>
      <c r="I186" s="17">
        <f>IF(A186="","",A186*Calculator!$B$5*Calculator!$B$8/3600)</f>
        <v/>
      </c>
      <c r="J186" s="12">
        <f>IF(A186="","",Calculator!$B$35-E186)</f>
        <v/>
      </c>
    </row>
    <row r="187">
      <c r="A187" s="15">
        <f>IF(185/1000&lt;=Calculator!$B$27+0.0000001,185/1000,"")</f>
        <v/>
      </c>
      <c r="B187" s="15">
        <f>IF(A187="","",A187/Calculator!$B$27)</f>
        <v/>
      </c>
      <c r="C187" s="15">
        <f>IF(A187="","",Calculator!$B$27-A187)</f>
        <v/>
      </c>
      <c r="D187" s="17">
        <f>IF(A187="","",(Calculator!$B$11+C187)*Calculator!$B$5)</f>
        <v/>
      </c>
      <c r="E187" s="12">
        <f>IF(A187="","",IF(Calculator!$B$17=1,ROUNDUP(D187*Calculator!$B$8/3600/Calculator!$B$24-0.000000001,0),D187*Calculator!$B$8/3600/Calculator!$B$24))</f>
        <v/>
      </c>
      <c r="F187" s="16">
        <f>IF(A187="","",IF(Calculator!$B$16=1,Calculator!$B$27,A187)*Calculator!$B$5*Calculator!$B$15)</f>
        <v/>
      </c>
      <c r="G187" s="16">
        <f>IF(A187="","",E187*Calculator!$B$6+Calculator!$C$37+F187+Calculator!$B$30)</f>
        <v/>
      </c>
      <c r="H187" s="16">
        <f>IF(A187="","",Calculator!$B$40-G187)</f>
        <v/>
      </c>
      <c r="I187" s="17">
        <f>IF(A187="","",A187*Calculator!$B$5*Calculator!$B$8/3600)</f>
        <v/>
      </c>
      <c r="J187" s="12">
        <f>IF(A187="","",Calculator!$B$35-E187)</f>
        <v/>
      </c>
    </row>
    <row r="188">
      <c r="A188" s="15">
        <f>IF(186/1000&lt;=Calculator!$B$27+0.0000001,186/1000,"")</f>
        <v/>
      </c>
      <c r="B188" s="15">
        <f>IF(A188="","",A188/Calculator!$B$27)</f>
        <v/>
      </c>
      <c r="C188" s="15">
        <f>IF(A188="","",Calculator!$B$27-A188)</f>
        <v/>
      </c>
      <c r="D188" s="17">
        <f>IF(A188="","",(Calculator!$B$11+C188)*Calculator!$B$5)</f>
        <v/>
      </c>
      <c r="E188" s="12">
        <f>IF(A188="","",IF(Calculator!$B$17=1,ROUNDUP(D188*Calculator!$B$8/3600/Calculator!$B$24-0.000000001,0),D188*Calculator!$B$8/3600/Calculator!$B$24))</f>
        <v/>
      </c>
      <c r="F188" s="16">
        <f>IF(A188="","",IF(Calculator!$B$16=1,Calculator!$B$27,A188)*Calculator!$B$5*Calculator!$B$15)</f>
        <v/>
      </c>
      <c r="G188" s="16">
        <f>IF(A188="","",E188*Calculator!$B$6+Calculator!$C$37+F188+Calculator!$B$30)</f>
        <v/>
      </c>
      <c r="H188" s="16">
        <f>IF(A188="","",Calculator!$B$40-G188)</f>
        <v/>
      </c>
      <c r="I188" s="17">
        <f>IF(A188="","",A188*Calculator!$B$5*Calculator!$B$8/3600)</f>
        <v/>
      </c>
      <c r="J188" s="12">
        <f>IF(A188="","",Calculator!$B$35-E188)</f>
        <v/>
      </c>
    </row>
    <row r="189">
      <c r="A189" s="15">
        <f>IF(187/1000&lt;=Calculator!$B$27+0.0000001,187/1000,"")</f>
        <v/>
      </c>
      <c r="B189" s="15">
        <f>IF(A189="","",A189/Calculator!$B$27)</f>
        <v/>
      </c>
      <c r="C189" s="15">
        <f>IF(A189="","",Calculator!$B$27-A189)</f>
        <v/>
      </c>
      <c r="D189" s="17">
        <f>IF(A189="","",(Calculator!$B$11+C189)*Calculator!$B$5)</f>
        <v/>
      </c>
      <c r="E189" s="12">
        <f>IF(A189="","",IF(Calculator!$B$17=1,ROUNDUP(D189*Calculator!$B$8/3600/Calculator!$B$24-0.000000001,0),D189*Calculator!$B$8/3600/Calculator!$B$24))</f>
        <v/>
      </c>
      <c r="F189" s="16">
        <f>IF(A189="","",IF(Calculator!$B$16=1,Calculator!$B$27,A189)*Calculator!$B$5*Calculator!$B$15)</f>
        <v/>
      </c>
      <c r="G189" s="16">
        <f>IF(A189="","",E189*Calculator!$B$6+Calculator!$C$37+F189+Calculator!$B$30)</f>
        <v/>
      </c>
      <c r="H189" s="16">
        <f>IF(A189="","",Calculator!$B$40-G189)</f>
        <v/>
      </c>
      <c r="I189" s="17">
        <f>IF(A189="","",A189*Calculator!$B$5*Calculator!$B$8/3600)</f>
        <v/>
      </c>
      <c r="J189" s="12">
        <f>IF(A189="","",Calculator!$B$35-E189)</f>
        <v/>
      </c>
    </row>
    <row r="190">
      <c r="A190" s="15">
        <f>IF(188/1000&lt;=Calculator!$B$27+0.0000001,188/1000,"")</f>
        <v/>
      </c>
      <c r="B190" s="15">
        <f>IF(A190="","",A190/Calculator!$B$27)</f>
        <v/>
      </c>
      <c r="C190" s="15">
        <f>IF(A190="","",Calculator!$B$27-A190)</f>
        <v/>
      </c>
      <c r="D190" s="17">
        <f>IF(A190="","",(Calculator!$B$11+C190)*Calculator!$B$5)</f>
        <v/>
      </c>
      <c r="E190" s="12">
        <f>IF(A190="","",IF(Calculator!$B$17=1,ROUNDUP(D190*Calculator!$B$8/3600/Calculator!$B$24-0.000000001,0),D190*Calculator!$B$8/3600/Calculator!$B$24))</f>
        <v/>
      </c>
      <c r="F190" s="16">
        <f>IF(A190="","",IF(Calculator!$B$16=1,Calculator!$B$27,A190)*Calculator!$B$5*Calculator!$B$15)</f>
        <v/>
      </c>
      <c r="G190" s="16">
        <f>IF(A190="","",E190*Calculator!$B$6+Calculator!$C$37+F190+Calculator!$B$30)</f>
        <v/>
      </c>
      <c r="H190" s="16">
        <f>IF(A190="","",Calculator!$B$40-G190)</f>
        <v/>
      </c>
      <c r="I190" s="17">
        <f>IF(A190="","",A190*Calculator!$B$5*Calculator!$B$8/3600)</f>
        <v/>
      </c>
      <c r="J190" s="12">
        <f>IF(A190="","",Calculator!$B$35-E190)</f>
        <v/>
      </c>
    </row>
    <row r="191">
      <c r="A191" s="15">
        <f>IF(189/1000&lt;=Calculator!$B$27+0.0000001,189/1000,"")</f>
        <v/>
      </c>
      <c r="B191" s="15">
        <f>IF(A191="","",A191/Calculator!$B$27)</f>
        <v/>
      </c>
      <c r="C191" s="15">
        <f>IF(A191="","",Calculator!$B$27-A191)</f>
        <v/>
      </c>
      <c r="D191" s="17">
        <f>IF(A191="","",(Calculator!$B$11+C191)*Calculator!$B$5)</f>
        <v/>
      </c>
      <c r="E191" s="12">
        <f>IF(A191="","",IF(Calculator!$B$17=1,ROUNDUP(D191*Calculator!$B$8/3600/Calculator!$B$24-0.000000001,0),D191*Calculator!$B$8/3600/Calculator!$B$24))</f>
        <v/>
      </c>
      <c r="F191" s="16">
        <f>IF(A191="","",IF(Calculator!$B$16=1,Calculator!$B$27,A191)*Calculator!$B$5*Calculator!$B$15)</f>
        <v/>
      </c>
      <c r="G191" s="16">
        <f>IF(A191="","",E191*Calculator!$B$6+Calculator!$C$37+F191+Calculator!$B$30)</f>
        <v/>
      </c>
      <c r="H191" s="16">
        <f>IF(A191="","",Calculator!$B$40-G191)</f>
        <v/>
      </c>
      <c r="I191" s="17">
        <f>IF(A191="","",A191*Calculator!$B$5*Calculator!$B$8/3600)</f>
        <v/>
      </c>
      <c r="J191" s="12">
        <f>IF(A191="","",Calculator!$B$35-E191)</f>
        <v/>
      </c>
    </row>
    <row r="192">
      <c r="A192" s="15">
        <f>IF(190/1000&lt;=Calculator!$B$27+0.0000001,190/1000,"")</f>
        <v/>
      </c>
      <c r="B192" s="15">
        <f>IF(A192="","",A192/Calculator!$B$27)</f>
        <v/>
      </c>
      <c r="C192" s="15">
        <f>IF(A192="","",Calculator!$B$27-A192)</f>
        <v/>
      </c>
      <c r="D192" s="17">
        <f>IF(A192="","",(Calculator!$B$11+C192)*Calculator!$B$5)</f>
        <v/>
      </c>
      <c r="E192" s="12">
        <f>IF(A192="","",IF(Calculator!$B$17=1,ROUNDUP(D192*Calculator!$B$8/3600/Calculator!$B$24-0.000000001,0),D192*Calculator!$B$8/3600/Calculator!$B$24))</f>
        <v/>
      </c>
      <c r="F192" s="16">
        <f>IF(A192="","",IF(Calculator!$B$16=1,Calculator!$B$27,A192)*Calculator!$B$5*Calculator!$B$15)</f>
        <v/>
      </c>
      <c r="G192" s="16">
        <f>IF(A192="","",E192*Calculator!$B$6+Calculator!$C$37+F192+Calculator!$B$30)</f>
        <v/>
      </c>
      <c r="H192" s="16">
        <f>IF(A192="","",Calculator!$B$40-G192)</f>
        <v/>
      </c>
      <c r="I192" s="17">
        <f>IF(A192="","",A192*Calculator!$B$5*Calculator!$B$8/3600)</f>
        <v/>
      </c>
      <c r="J192" s="12">
        <f>IF(A192="","",Calculator!$B$35-E192)</f>
        <v/>
      </c>
    </row>
    <row r="193">
      <c r="A193" s="15">
        <f>IF(191/1000&lt;=Calculator!$B$27+0.0000001,191/1000,"")</f>
        <v/>
      </c>
      <c r="B193" s="15">
        <f>IF(A193="","",A193/Calculator!$B$27)</f>
        <v/>
      </c>
      <c r="C193" s="15">
        <f>IF(A193="","",Calculator!$B$27-A193)</f>
        <v/>
      </c>
      <c r="D193" s="17">
        <f>IF(A193="","",(Calculator!$B$11+C193)*Calculator!$B$5)</f>
        <v/>
      </c>
      <c r="E193" s="12">
        <f>IF(A193="","",IF(Calculator!$B$17=1,ROUNDUP(D193*Calculator!$B$8/3600/Calculator!$B$24-0.000000001,0),D193*Calculator!$B$8/3600/Calculator!$B$24))</f>
        <v/>
      </c>
      <c r="F193" s="16">
        <f>IF(A193="","",IF(Calculator!$B$16=1,Calculator!$B$27,A193)*Calculator!$B$5*Calculator!$B$15)</f>
        <v/>
      </c>
      <c r="G193" s="16">
        <f>IF(A193="","",E193*Calculator!$B$6+Calculator!$C$37+F193+Calculator!$B$30)</f>
        <v/>
      </c>
      <c r="H193" s="16">
        <f>IF(A193="","",Calculator!$B$40-G193)</f>
        <v/>
      </c>
      <c r="I193" s="17">
        <f>IF(A193="","",A193*Calculator!$B$5*Calculator!$B$8/3600)</f>
        <v/>
      </c>
      <c r="J193" s="12">
        <f>IF(A193="","",Calculator!$B$35-E193)</f>
        <v/>
      </c>
    </row>
    <row r="194">
      <c r="A194" s="15">
        <f>IF(192/1000&lt;=Calculator!$B$27+0.0000001,192/1000,"")</f>
        <v/>
      </c>
      <c r="B194" s="15">
        <f>IF(A194="","",A194/Calculator!$B$27)</f>
        <v/>
      </c>
      <c r="C194" s="15">
        <f>IF(A194="","",Calculator!$B$27-A194)</f>
        <v/>
      </c>
      <c r="D194" s="17">
        <f>IF(A194="","",(Calculator!$B$11+C194)*Calculator!$B$5)</f>
        <v/>
      </c>
      <c r="E194" s="12">
        <f>IF(A194="","",IF(Calculator!$B$17=1,ROUNDUP(D194*Calculator!$B$8/3600/Calculator!$B$24-0.000000001,0),D194*Calculator!$B$8/3600/Calculator!$B$24))</f>
        <v/>
      </c>
      <c r="F194" s="16">
        <f>IF(A194="","",IF(Calculator!$B$16=1,Calculator!$B$27,A194)*Calculator!$B$5*Calculator!$B$15)</f>
        <v/>
      </c>
      <c r="G194" s="16">
        <f>IF(A194="","",E194*Calculator!$B$6+Calculator!$C$37+F194+Calculator!$B$30)</f>
        <v/>
      </c>
      <c r="H194" s="16">
        <f>IF(A194="","",Calculator!$B$40-G194)</f>
        <v/>
      </c>
      <c r="I194" s="17">
        <f>IF(A194="","",A194*Calculator!$B$5*Calculator!$B$8/3600)</f>
        <v/>
      </c>
      <c r="J194" s="12">
        <f>IF(A194="","",Calculator!$B$35-E194)</f>
        <v/>
      </c>
    </row>
    <row r="195">
      <c r="A195" s="15">
        <f>IF(193/1000&lt;=Calculator!$B$27+0.0000001,193/1000,"")</f>
        <v/>
      </c>
      <c r="B195" s="15">
        <f>IF(A195="","",A195/Calculator!$B$27)</f>
        <v/>
      </c>
      <c r="C195" s="15">
        <f>IF(A195="","",Calculator!$B$27-A195)</f>
        <v/>
      </c>
      <c r="D195" s="17">
        <f>IF(A195="","",(Calculator!$B$11+C195)*Calculator!$B$5)</f>
        <v/>
      </c>
      <c r="E195" s="12">
        <f>IF(A195="","",IF(Calculator!$B$17=1,ROUNDUP(D195*Calculator!$B$8/3600/Calculator!$B$24-0.000000001,0),D195*Calculator!$B$8/3600/Calculator!$B$24))</f>
        <v/>
      </c>
      <c r="F195" s="16">
        <f>IF(A195="","",IF(Calculator!$B$16=1,Calculator!$B$27,A195)*Calculator!$B$5*Calculator!$B$15)</f>
        <v/>
      </c>
      <c r="G195" s="16">
        <f>IF(A195="","",E195*Calculator!$B$6+Calculator!$C$37+F195+Calculator!$B$30)</f>
        <v/>
      </c>
      <c r="H195" s="16">
        <f>IF(A195="","",Calculator!$B$40-G195)</f>
        <v/>
      </c>
      <c r="I195" s="17">
        <f>IF(A195="","",A195*Calculator!$B$5*Calculator!$B$8/3600)</f>
        <v/>
      </c>
      <c r="J195" s="12">
        <f>IF(A195="","",Calculator!$B$35-E195)</f>
        <v/>
      </c>
    </row>
    <row r="196">
      <c r="A196" s="15">
        <f>IF(194/1000&lt;=Calculator!$B$27+0.0000001,194/1000,"")</f>
        <v/>
      </c>
      <c r="B196" s="15">
        <f>IF(A196="","",A196/Calculator!$B$27)</f>
        <v/>
      </c>
      <c r="C196" s="15">
        <f>IF(A196="","",Calculator!$B$27-A196)</f>
        <v/>
      </c>
      <c r="D196" s="17">
        <f>IF(A196="","",(Calculator!$B$11+C196)*Calculator!$B$5)</f>
        <v/>
      </c>
      <c r="E196" s="12">
        <f>IF(A196="","",IF(Calculator!$B$17=1,ROUNDUP(D196*Calculator!$B$8/3600/Calculator!$B$24-0.000000001,0),D196*Calculator!$B$8/3600/Calculator!$B$24))</f>
        <v/>
      </c>
      <c r="F196" s="16">
        <f>IF(A196="","",IF(Calculator!$B$16=1,Calculator!$B$27,A196)*Calculator!$B$5*Calculator!$B$15)</f>
        <v/>
      </c>
      <c r="G196" s="16">
        <f>IF(A196="","",E196*Calculator!$B$6+Calculator!$C$37+F196+Calculator!$B$30)</f>
        <v/>
      </c>
      <c r="H196" s="16">
        <f>IF(A196="","",Calculator!$B$40-G196)</f>
        <v/>
      </c>
      <c r="I196" s="17">
        <f>IF(A196="","",A196*Calculator!$B$5*Calculator!$B$8/3600)</f>
        <v/>
      </c>
      <c r="J196" s="12">
        <f>IF(A196="","",Calculator!$B$35-E196)</f>
        <v/>
      </c>
    </row>
    <row r="197">
      <c r="A197" s="15">
        <f>IF(195/1000&lt;=Calculator!$B$27+0.0000001,195/1000,"")</f>
        <v/>
      </c>
      <c r="B197" s="15">
        <f>IF(A197="","",A197/Calculator!$B$27)</f>
        <v/>
      </c>
      <c r="C197" s="15">
        <f>IF(A197="","",Calculator!$B$27-A197)</f>
        <v/>
      </c>
      <c r="D197" s="17">
        <f>IF(A197="","",(Calculator!$B$11+C197)*Calculator!$B$5)</f>
        <v/>
      </c>
      <c r="E197" s="12">
        <f>IF(A197="","",IF(Calculator!$B$17=1,ROUNDUP(D197*Calculator!$B$8/3600/Calculator!$B$24-0.000000001,0),D197*Calculator!$B$8/3600/Calculator!$B$24))</f>
        <v/>
      </c>
      <c r="F197" s="16">
        <f>IF(A197="","",IF(Calculator!$B$16=1,Calculator!$B$27,A197)*Calculator!$B$5*Calculator!$B$15)</f>
        <v/>
      </c>
      <c r="G197" s="16">
        <f>IF(A197="","",E197*Calculator!$B$6+Calculator!$C$37+F197+Calculator!$B$30)</f>
        <v/>
      </c>
      <c r="H197" s="16">
        <f>IF(A197="","",Calculator!$B$40-G197)</f>
        <v/>
      </c>
      <c r="I197" s="17">
        <f>IF(A197="","",A197*Calculator!$B$5*Calculator!$B$8/3600)</f>
        <v/>
      </c>
      <c r="J197" s="12">
        <f>IF(A197="","",Calculator!$B$35-E197)</f>
        <v/>
      </c>
    </row>
    <row r="198">
      <c r="A198" s="15">
        <f>IF(196/1000&lt;=Calculator!$B$27+0.0000001,196/1000,"")</f>
        <v/>
      </c>
      <c r="B198" s="15">
        <f>IF(A198="","",A198/Calculator!$B$27)</f>
        <v/>
      </c>
      <c r="C198" s="15">
        <f>IF(A198="","",Calculator!$B$27-A198)</f>
        <v/>
      </c>
      <c r="D198" s="17">
        <f>IF(A198="","",(Calculator!$B$11+C198)*Calculator!$B$5)</f>
        <v/>
      </c>
      <c r="E198" s="12">
        <f>IF(A198="","",IF(Calculator!$B$17=1,ROUNDUP(D198*Calculator!$B$8/3600/Calculator!$B$24-0.000000001,0),D198*Calculator!$B$8/3600/Calculator!$B$24))</f>
        <v/>
      </c>
      <c r="F198" s="16">
        <f>IF(A198="","",IF(Calculator!$B$16=1,Calculator!$B$27,A198)*Calculator!$B$5*Calculator!$B$15)</f>
        <v/>
      </c>
      <c r="G198" s="16">
        <f>IF(A198="","",E198*Calculator!$B$6+Calculator!$C$37+F198+Calculator!$B$30)</f>
        <v/>
      </c>
      <c r="H198" s="16">
        <f>IF(A198="","",Calculator!$B$40-G198)</f>
        <v/>
      </c>
      <c r="I198" s="17">
        <f>IF(A198="","",A198*Calculator!$B$5*Calculator!$B$8/3600)</f>
        <v/>
      </c>
      <c r="J198" s="12">
        <f>IF(A198="","",Calculator!$B$35-E198)</f>
        <v/>
      </c>
    </row>
    <row r="199">
      <c r="A199" s="15">
        <f>IF(197/1000&lt;=Calculator!$B$27+0.0000001,197/1000,"")</f>
        <v/>
      </c>
      <c r="B199" s="15">
        <f>IF(A199="","",A199/Calculator!$B$27)</f>
        <v/>
      </c>
      <c r="C199" s="15">
        <f>IF(A199="","",Calculator!$B$27-A199)</f>
        <v/>
      </c>
      <c r="D199" s="17">
        <f>IF(A199="","",(Calculator!$B$11+C199)*Calculator!$B$5)</f>
        <v/>
      </c>
      <c r="E199" s="12">
        <f>IF(A199="","",IF(Calculator!$B$17=1,ROUNDUP(D199*Calculator!$B$8/3600/Calculator!$B$24-0.000000001,0),D199*Calculator!$B$8/3600/Calculator!$B$24))</f>
        <v/>
      </c>
      <c r="F199" s="16">
        <f>IF(A199="","",IF(Calculator!$B$16=1,Calculator!$B$27,A199)*Calculator!$B$5*Calculator!$B$15)</f>
        <v/>
      </c>
      <c r="G199" s="16">
        <f>IF(A199="","",E199*Calculator!$B$6+Calculator!$C$37+F199+Calculator!$B$30)</f>
        <v/>
      </c>
      <c r="H199" s="16">
        <f>IF(A199="","",Calculator!$B$40-G199)</f>
        <v/>
      </c>
      <c r="I199" s="17">
        <f>IF(A199="","",A199*Calculator!$B$5*Calculator!$B$8/3600)</f>
        <v/>
      </c>
      <c r="J199" s="12">
        <f>IF(A199="","",Calculator!$B$35-E199)</f>
        <v/>
      </c>
    </row>
    <row r="200">
      <c r="A200" s="15">
        <f>IF(198/1000&lt;=Calculator!$B$27+0.0000001,198/1000,"")</f>
        <v/>
      </c>
      <c r="B200" s="15">
        <f>IF(A200="","",A200/Calculator!$B$27)</f>
        <v/>
      </c>
      <c r="C200" s="15">
        <f>IF(A200="","",Calculator!$B$27-A200)</f>
        <v/>
      </c>
      <c r="D200" s="17">
        <f>IF(A200="","",(Calculator!$B$11+C200)*Calculator!$B$5)</f>
        <v/>
      </c>
      <c r="E200" s="12">
        <f>IF(A200="","",IF(Calculator!$B$17=1,ROUNDUP(D200*Calculator!$B$8/3600/Calculator!$B$24-0.000000001,0),D200*Calculator!$B$8/3600/Calculator!$B$24))</f>
        <v/>
      </c>
      <c r="F200" s="16">
        <f>IF(A200="","",IF(Calculator!$B$16=1,Calculator!$B$27,A200)*Calculator!$B$5*Calculator!$B$15)</f>
        <v/>
      </c>
      <c r="G200" s="16">
        <f>IF(A200="","",E200*Calculator!$B$6+Calculator!$C$37+F200+Calculator!$B$30)</f>
        <v/>
      </c>
      <c r="H200" s="16">
        <f>IF(A200="","",Calculator!$B$40-G200)</f>
        <v/>
      </c>
      <c r="I200" s="17">
        <f>IF(A200="","",A200*Calculator!$B$5*Calculator!$B$8/3600)</f>
        <v/>
      </c>
      <c r="J200" s="12">
        <f>IF(A200="","",Calculator!$B$35-E200)</f>
        <v/>
      </c>
    </row>
    <row r="201">
      <c r="A201" s="15">
        <f>IF(199/1000&lt;=Calculator!$B$27+0.0000001,199/1000,"")</f>
        <v/>
      </c>
      <c r="B201" s="15">
        <f>IF(A201="","",A201/Calculator!$B$27)</f>
        <v/>
      </c>
      <c r="C201" s="15">
        <f>IF(A201="","",Calculator!$B$27-A201)</f>
        <v/>
      </c>
      <c r="D201" s="17">
        <f>IF(A201="","",(Calculator!$B$11+C201)*Calculator!$B$5)</f>
        <v/>
      </c>
      <c r="E201" s="12">
        <f>IF(A201="","",IF(Calculator!$B$17=1,ROUNDUP(D201*Calculator!$B$8/3600/Calculator!$B$24-0.000000001,0),D201*Calculator!$B$8/3600/Calculator!$B$24))</f>
        <v/>
      </c>
      <c r="F201" s="16">
        <f>IF(A201="","",IF(Calculator!$B$16=1,Calculator!$B$27,A201)*Calculator!$B$5*Calculator!$B$15)</f>
        <v/>
      </c>
      <c r="G201" s="16">
        <f>IF(A201="","",E201*Calculator!$B$6+Calculator!$C$37+F201+Calculator!$B$30)</f>
        <v/>
      </c>
      <c r="H201" s="16">
        <f>IF(A201="","",Calculator!$B$40-G201)</f>
        <v/>
      </c>
      <c r="I201" s="17">
        <f>IF(A201="","",A201*Calculator!$B$5*Calculator!$B$8/3600)</f>
        <v/>
      </c>
      <c r="J201" s="12">
        <f>IF(A201="","",Calculator!$B$35-E201)</f>
        <v/>
      </c>
    </row>
    <row r="202">
      <c r="A202" s="15">
        <f>IF(200/1000&lt;=Calculator!$B$27+0.0000001,200/1000,"")</f>
        <v/>
      </c>
      <c r="B202" s="15">
        <f>IF(A202="","",A202/Calculator!$B$27)</f>
        <v/>
      </c>
      <c r="C202" s="15">
        <f>IF(A202="","",Calculator!$B$27-A202)</f>
        <v/>
      </c>
      <c r="D202" s="17">
        <f>IF(A202="","",(Calculator!$B$11+C202)*Calculator!$B$5)</f>
        <v/>
      </c>
      <c r="E202" s="12">
        <f>IF(A202="","",IF(Calculator!$B$17=1,ROUNDUP(D202*Calculator!$B$8/3600/Calculator!$B$24-0.000000001,0),D202*Calculator!$B$8/3600/Calculator!$B$24))</f>
        <v/>
      </c>
      <c r="F202" s="16">
        <f>IF(A202="","",IF(Calculator!$B$16=1,Calculator!$B$27,A202)*Calculator!$B$5*Calculator!$B$15)</f>
        <v/>
      </c>
      <c r="G202" s="16">
        <f>IF(A202="","",E202*Calculator!$B$6+Calculator!$C$37+F202+Calculator!$B$30)</f>
        <v/>
      </c>
      <c r="H202" s="16">
        <f>IF(A202="","",Calculator!$B$40-G202)</f>
        <v/>
      </c>
      <c r="I202" s="17">
        <f>IF(A202="","",A202*Calculator!$B$5*Calculator!$B$8/3600)</f>
        <v/>
      </c>
      <c r="J202" s="12">
        <f>IF(A202="","",Calculator!$B$35-E202)</f>
        <v/>
      </c>
    </row>
    <row r="203">
      <c r="A203" s="15">
        <f>IF(201/1000&lt;=Calculator!$B$27+0.0000001,201/1000,"")</f>
        <v/>
      </c>
      <c r="B203" s="15">
        <f>IF(A203="","",A203/Calculator!$B$27)</f>
        <v/>
      </c>
      <c r="C203" s="15">
        <f>IF(A203="","",Calculator!$B$27-A203)</f>
        <v/>
      </c>
      <c r="D203" s="17">
        <f>IF(A203="","",(Calculator!$B$11+C203)*Calculator!$B$5)</f>
        <v/>
      </c>
      <c r="E203" s="12">
        <f>IF(A203="","",IF(Calculator!$B$17=1,ROUNDUP(D203*Calculator!$B$8/3600/Calculator!$B$24-0.000000001,0),D203*Calculator!$B$8/3600/Calculator!$B$24))</f>
        <v/>
      </c>
      <c r="F203" s="16">
        <f>IF(A203="","",IF(Calculator!$B$16=1,Calculator!$B$27,A203)*Calculator!$B$5*Calculator!$B$15)</f>
        <v/>
      </c>
      <c r="G203" s="16">
        <f>IF(A203="","",E203*Calculator!$B$6+Calculator!$C$37+F203+Calculator!$B$30)</f>
        <v/>
      </c>
      <c r="H203" s="16">
        <f>IF(A203="","",Calculator!$B$40-G203)</f>
        <v/>
      </c>
      <c r="I203" s="17">
        <f>IF(A203="","",A203*Calculator!$B$5*Calculator!$B$8/3600)</f>
        <v/>
      </c>
      <c r="J203" s="12">
        <f>IF(A203="","",Calculator!$B$35-E203)</f>
        <v/>
      </c>
    </row>
    <row r="204">
      <c r="A204" s="15">
        <f>IF(202/1000&lt;=Calculator!$B$27+0.0000001,202/1000,"")</f>
        <v/>
      </c>
      <c r="B204" s="15">
        <f>IF(A204="","",A204/Calculator!$B$27)</f>
        <v/>
      </c>
      <c r="C204" s="15">
        <f>IF(A204="","",Calculator!$B$27-A204)</f>
        <v/>
      </c>
      <c r="D204" s="17">
        <f>IF(A204="","",(Calculator!$B$11+C204)*Calculator!$B$5)</f>
        <v/>
      </c>
      <c r="E204" s="12">
        <f>IF(A204="","",IF(Calculator!$B$17=1,ROUNDUP(D204*Calculator!$B$8/3600/Calculator!$B$24-0.000000001,0),D204*Calculator!$B$8/3600/Calculator!$B$24))</f>
        <v/>
      </c>
      <c r="F204" s="16">
        <f>IF(A204="","",IF(Calculator!$B$16=1,Calculator!$B$27,A204)*Calculator!$B$5*Calculator!$B$15)</f>
        <v/>
      </c>
      <c r="G204" s="16">
        <f>IF(A204="","",E204*Calculator!$B$6+Calculator!$C$37+F204+Calculator!$B$30)</f>
        <v/>
      </c>
      <c r="H204" s="16">
        <f>IF(A204="","",Calculator!$B$40-G204)</f>
        <v/>
      </c>
      <c r="I204" s="17">
        <f>IF(A204="","",A204*Calculator!$B$5*Calculator!$B$8/3600)</f>
        <v/>
      </c>
      <c r="J204" s="12">
        <f>IF(A204="","",Calculator!$B$35-E204)</f>
        <v/>
      </c>
    </row>
    <row r="205">
      <c r="A205" s="15">
        <f>IF(203/1000&lt;=Calculator!$B$27+0.0000001,203/1000,"")</f>
        <v/>
      </c>
      <c r="B205" s="15">
        <f>IF(A205="","",A205/Calculator!$B$27)</f>
        <v/>
      </c>
      <c r="C205" s="15">
        <f>IF(A205="","",Calculator!$B$27-A205)</f>
        <v/>
      </c>
      <c r="D205" s="17">
        <f>IF(A205="","",(Calculator!$B$11+C205)*Calculator!$B$5)</f>
        <v/>
      </c>
      <c r="E205" s="12">
        <f>IF(A205="","",IF(Calculator!$B$17=1,ROUNDUP(D205*Calculator!$B$8/3600/Calculator!$B$24-0.000000001,0),D205*Calculator!$B$8/3600/Calculator!$B$24))</f>
        <v/>
      </c>
      <c r="F205" s="16">
        <f>IF(A205="","",IF(Calculator!$B$16=1,Calculator!$B$27,A205)*Calculator!$B$5*Calculator!$B$15)</f>
        <v/>
      </c>
      <c r="G205" s="16">
        <f>IF(A205="","",E205*Calculator!$B$6+Calculator!$C$37+F205+Calculator!$B$30)</f>
        <v/>
      </c>
      <c r="H205" s="16">
        <f>IF(A205="","",Calculator!$B$40-G205)</f>
        <v/>
      </c>
      <c r="I205" s="17">
        <f>IF(A205="","",A205*Calculator!$B$5*Calculator!$B$8/3600)</f>
        <v/>
      </c>
      <c r="J205" s="12">
        <f>IF(A205="","",Calculator!$B$35-E205)</f>
        <v/>
      </c>
    </row>
    <row r="206">
      <c r="A206" s="15">
        <f>IF(204/1000&lt;=Calculator!$B$27+0.0000001,204/1000,"")</f>
        <v/>
      </c>
      <c r="B206" s="15">
        <f>IF(A206="","",A206/Calculator!$B$27)</f>
        <v/>
      </c>
      <c r="C206" s="15">
        <f>IF(A206="","",Calculator!$B$27-A206)</f>
        <v/>
      </c>
      <c r="D206" s="17">
        <f>IF(A206="","",(Calculator!$B$11+C206)*Calculator!$B$5)</f>
        <v/>
      </c>
      <c r="E206" s="12">
        <f>IF(A206="","",IF(Calculator!$B$17=1,ROUNDUP(D206*Calculator!$B$8/3600/Calculator!$B$24-0.000000001,0),D206*Calculator!$B$8/3600/Calculator!$B$24))</f>
        <v/>
      </c>
      <c r="F206" s="16">
        <f>IF(A206="","",IF(Calculator!$B$16=1,Calculator!$B$27,A206)*Calculator!$B$5*Calculator!$B$15)</f>
        <v/>
      </c>
      <c r="G206" s="16">
        <f>IF(A206="","",E206*Calculator!$B$6+Calculator!$C$37+F206+Calculator!$B$30)</f>
        <v/>
      </c>
      <c r="H206" s="16">
        <f>IF(A206="","",Calculator!$B$40-G206)</f>
        <v/>
      </c>
      <c r="I206" s="17">
        <f>IF(A206="","",A206*Calculator!$B$5*Calculator!$B$8/3600)</f>
        <v/>
      </c>
      <c r="J206" s="12">
        <f>IF(A206="","",Calculator!$B$35-E206)</f>
        <v/>
      </c>
    </row>
    <row r="207">
      <c r="A207" s="15">
        <f>IF(205/1000&lt;=Calculator!$B$27+0.0000001,205/1000,"")</f>
        <v/>
      </c>
      <c r="B207" s="15">
        <f>IF(A207="","",A207/Calculator!$B$27)</f>
        <v/>
      </c>
      <c r="C207" s="15">
        <f>IF(A207="","",Calculator!$B$27-A207)</f>
        <v/>
      </c>
      <c r="D207" s="17">
        <f>IF(A207="","",(Calculator!$B$11+C207)*Calculator!$B$5)</f>
        <v/>
      </c>
      <c r="E207" s="12">
        <f>IF(A207="","",IF(Calculator!$B$17=1,ROUNDUP(D207*Calculator!$B$8/3600/Calculator!$B$24-0.000000001,0),D207*Calculator!$B$8/3600/Calculator!$B$24))</f>
        <v/>
      </c>
      <c r="F207" s="16">
        <f>IF(A207="","",IF(Calculator!$B$16=1,Calculator!$B$27,A207)*Calculator!$B$5*Calculator!$B$15)</f>
        <v/>
      </c>
      <c r="G207" s="16">
        <f>IF(A207="","",E207*Calculator!$B$6+Calculator!$C$37+F207+Calculator!$B$30)</f>
        <v/>
      </c>
      <c r="H207" s="16">
        <f>IF(A207="","",Calculator!$B$40-G207)</f>
        <v/>
      </c>
      <c r="I207" s="17">
        <f>IF(A207="","",A207*Calculator!$B$5*Calculator!$B$8/3600)</f>
        <v/>
      </c>
      <c r="J207" s="12">
        <f>IF(A207="","",Calculator!$B$35-E207)</f>
        <v/>
      </c>
    </row>
    <row r="208">
      <c r="A208" s="15">
        <f>IF(206/1000&lt;=Calculator!$B$27+0.0000001,206/1000,"")</f>
        <v/>
      </c>
      <c r="B208" s="15">
        <f>IF(A208="","",A208/Calculator!$B$27)</f>
        <v/>
      </c>
      <c r="C208" s="15">
        <f>IF(A208="","",Calculator!$B$27-A208)</f>
        <v/>
      </c>
      <c r="D208" s="17">
        <f>IF(A208="","",(Calculator!$B$11+C208)*Calculator!$B$5)</f>
        <v/>
      </c>
      <c r="E208" s="12">
        <f>IF(A208="","",IF(Calculator!$B$17=1,ROUNDUP(D208*Calculator!$B$8/3600/Calculator!$B$24-0.000000001,0),D208*Calculator!$B$8/3600/Calculator!$B$24))</f>
        <v/>
      </c>
      <c r="F208" s="16">
        <f>IF(A208="","",IF(Calculator!$B$16=1,Calculator!$B$27,A208)*Calculator!$B$5*Calculator!$B$15)</f>
        <v/>
      </c>
      <c r="G208" s="16">
        <f>IF(A208="","",E208*Calculator!$B$6+Calculator!$C$37+F208+Calculator!$B$30)</f>
        <v/>
      </c>
      <c r="H208" s="16">
        <f>IF(A208="","",Calculator!$B$40-G208)</f>
        <v/>
      </c>
      <c r="I208" s="17">
        <f>IF(A208="","",A208*Calculator!$B$5*Calculator!$B$8/3600)</f>
        <v/>
      </c>
      <c r="J208" s="12">
        <f>IF(A208="","",Calculator!$B$35-E208)</f>
        <v/>
      </c>
    </row>
    <row r="209">
      <c r="A209" s="15">
        <f>IF(207/1000&lt;=Calculator!$B$27+0.0000001,207/1000,"")</f>
        <v/>
      </c>
      <c r="B209" s="15">
        <f>IF(A209="","",A209/Calculator!$B$27)</f>
        <v/>
      </c>
      <c r="C209" s="15">
        <f>IF(A209="","",Calculator!$B$27-A209)</f>
        <v/>
      </c>
      <c r="D209" s="17">
        <f>IF(A209="","",(Calculator!$B$11+C209)*Calculator!$B$5)</f>
        <v/>
      </c>
      <c r="E209" s="12">
        <f>IF(A209="","",IF(Calculator!$B$17=1,ROUNDUP(D209*Calculator!$B$8/3600/Calculator!$B$24-0.000000001,0),D209*Calculator!$B$8/3600/Calculator!$B$24))</f>
        <v/>
      </c>
      <c r="F209" s="16">
        <f>IF(A209="","",IF(Calculator!$B$16=1,Calculator!$B$27,A209)*Calculator!$B$5*Calculator!$B$15)</f>
        <v/>
      </c>
      <c r="G209" s="16">
        <f>IF(A209="","",E209*Calculator!$B$6+Calculator!$C$37+F209+Calculator!$B$30)</f>
        <v/>
      </c>
      <c r="H209" s="16">
        <f>IF(A209="","",Calculator!$B$40-G209)</f>
        <v/>
      </c>
      <c r="I209" s="17">
        <f>IF(A209="","",A209*Calculator!$B$5*Calculator!$B$8/3600)</f>
        <v/>
      </c>
      <c r="J209" s="12">
        <f>IF(A209="","",Calculator!$B$35-E209)</f>
        <v/>
      </c>
    </row>
    <row r="210">
      <c r="A210" s="15">
        <f>IF(208/1000&lt;=Calculator!$B$27+0.0000001,208/1000,"")</f>
        <v/>
      </c>
      <c r="B210" s="15">
        <f>IF(A210="","",A210/Calculator!$B$27)</f>
        <v/>
      </c>
      <c r="C210" s="15">
        <f>IF(A210="","",Calculator!$B$27-A210)</f>
        <v/>
      </c>
      <c r="D210" s="17">
        <f>IF(A210="","",(Calculator!$B$11+C210)*Calculator!$B$5)</f>
        <v/>
      </c>
      <c r="E210" s="12">
        <f>IF(A210="","",IF(Calculator!$B$17=1,ROUNDUP(D210*Calculator!$B$8/3600/Calculator!$B$24-0.000000001,0),D210*Calculator!$B$8/3600/Calculator!$B$24))</f>
        <v/>
      </c>
      <c r="F210" s="16">
        <f>IF(A210="","",IF(Calculator!$B$16=1,Calculator!$B$27,A210)*Calculator!$B$5*Calculator!$B$15)</f>
        <v/>
      </c>
      <c r="G210" s="16">
        <f>IF(A210="","",E210*Calculator!$B$6+Calculator!$C$37+F210+Calculator!$B$30)</f>
        <v/>
      </c>
      <c r="H210" s="16">
        <f>IF(A210="","",Calculator!$B$40-G210)</f>
        <v/>
      </c>
      <c r="I210" s="17">
        <f>IF(A210="","",A210*Calculator!$B$5*Calculator!$B$8/3600)</f>
        <v/>
      </c>
      <c r="J210" s="12">
        <f>IF(A210="","",Calculator!$B$35-E210)</f>
        <v/>
      </c>
    </row>
    <row r="211">
      <c r="A211" s="15">
        <f>IF(209/1000&lt;=Calculator!$B$27+0.0000001,209/1000,"")</f>
        <v/>
      </c>
      <c r="B211" s="15">
        <f>IF(A211="","",A211/Calculator!$B$27)</f>
        <v/>
      </c>
      <c r="C211" s="15">
        <f>IF(A211="","",Calculator!$B$27-A211)</f>
        <v/>
      </c>
      <c r="D211" s="17">
        <f>IF(A211="","",(Calculator!$B$11+C211)*Calculator!$B$5)</f>
        <v/>
      </c>
      <c r="E211" s="12">
        <f>IF(A211="","",IF(Calculator!$B$17=1,ROUNDUP(D211*Calculator!$B$8/3600/Calculator!$B$24-0.000000001,0),D211*Calculator!$B$8/3600/Calculator!$B$24))</f>
        <v/>
      </c>
      <c r="F211" s="16">
        <f>IF(A211="","",IF(Calculator!$B$16=1,Calculator!$B$27,A211)*Calculator!$B$5*Calculator!$B$15)</f>
        <v/>
      </c>
      <c r="G211" s="16">
        <f>IF(A211="","",E211*Calculator!$B$6+Calculator!$C$37+F211+Calculator!$B$30)</f>
        <v/>
      </c>
      <c r="H211" s="16">
        <f>IF(A211="","",Calculator!$B$40-G211)</f>
        <v/>
      </c>
      <c r="I211" s="17">
        <f>IF(A211="","",A211*Calculator!$B$5*Calculator!$B$8/3600)</f>
        <v/>
      </c>
      <c r="J211" s="12">
        <f>IF(A211="","",Calculator!$B$35-E211)</f>
        <v/>
      </c>
    </row>
    <row r="212">
      <c r="A212" s="15">
        <f>IF(210/1000&lt;=Calculator!$B$27+0.0000001,210/1000,"")</f>
        <v/>
      </c>
      <c r="B212" s="15">
        <f>IF(A212="","",A212/Calculator!$B$27)</f>
        <v/>
      </c>
      <c r="C212" s="15">
        <f>IF(A212="","",Calculator!$B$27-A212)</f>
        <v/>
      </c>
      <c r="D212" s="17">
        <f>IF(A212="","",(Calculator!$B$11+C212)*Calculator!$B$5)</f>
        <v/>
      </c>
      <c r="E212" s="12">
        <f>IF(A212="","",IF(Calculator!$B$17=1,ROUNDUP(D212*Calculator!$B$8/3600/Calculator!$B$24-0.000000001,0),D212*Calculator!$B$8/3600/Calculator!$B$24))</f>
        <v/>
      </c>
      <c r="F212" s="16">
        <f>IF(A212="","",IF(Calculator!$B$16=1,Calculator!$B$27,A212)*Calculator!$B$5*Calculator!$B$15)</f>
        <v/>
      </c>
      <c r="G212" s="16">
        <f>IF(A212="","",E212*Calculator!$B$6+Calculator!$C$37+F212+Calculator!$B$30)</f>
        <v/>
      </c>
      <c r="H212" s="16">
        <f>IF(A212="","",Calculator!$B$40-G212)</f>
        <v/>
      </c>
      <c r="I212" s="17">
        <f>IF(A212="","",A212*Calculator!$B$5*Calculator!$B$8/3600)</f>
        <v/>
      </c>
      <c r="J212" s="12">
        <f>IF(A212="","",Calculator!$B$35-E212)</f>
        <v/>
      </c>
    </row>
    <row r="213">
      <c r="A213" s="15">
        <f>IF(211/1000&lt;=Calculator!$B$27+0.0000001,211/1000,"")</f>
        <v/>
      </c>
      <c r="B213" s="15">
        <f>IF(A213="","",A213/Calculator!$B$27)</f>
        <v/>
      </c>
      <c r="C213" s="15">
        <f>IF(A213="","",Calculator!$B$27-A213)</f>
        <v/>
      </c>
      <c r="D213" s="17">
        <f>IF(A213="","",(Calculator!$B$11+C213)*Calculator!$B$5)</f>
        <v/>
      </c>
      <c r="E213" s="12">
        <f>IF(A213="","",IF(Calculator!$B$17=1,ROUNDUP(D213*Calculator!$B$8/3600/Calculator!$B$24-0.000000001,0),D213*Calculator!$B$8/3600/Calculator!$B$24))</f>
        <v/>
      </c>
      <c r="F213" s="16">
        <f>IF(A213="","",IF(Calculator!$B$16=1,Calculator!$B$27,A213)*Calculator!$B$5*Calculator!$B$15)</f>
        <v/>
      </c>
      <c r="G213" s="16">
        <f>IF(A213="","",E213*Calculator!$B$6+Calculator!$C$37+F213+Calculator!$B$30)</f>
        <v/>
      </c>
      <c r="H213" s="16">
        <f>IF(A213="","",Calculator!$B$40-G213)</f>
        <v/>
      </c>
      <c r="I213" s="17">
        <f>IF(A213="","",A213*Calculator!$B$5*Calculator!$B$8/3600)</f>
        <v/>
      </c>
      <c r="J213" s="12">
        <f>IF(A213="","",Calculator!$B$35-E213)</f>
        <v/>
      </c>
    </row>
    <row r="214">
      <c r="A214" s="15">
        <f>IF(212/1000&lt;=Calculator!$B$27+0.0000001,212/1000,"")</f>
        <v/>
      </c>
      <c r="B214" s="15">
        <f>IF(A214="","",A214/Calculator!$B$27)</f>
        <v/>
      </c>
      <c r="C214" s="15">
        <f>IF(A214="","",Calculator!$B$27-A214)</f>
        <v/>
      </c>
      <c r="D214" s="17">
        <f>IF(A214="","",(Calculator!$B$11+C214)*Calculator!$B$5)</f>
        <v/>
      </c>
      <c r="E214" s="12">
        <f>IF(A214="","",IF(Calculator!$B$17=1,ROUNDUP(D214*Calculator!$B$8/3600/Calculator!$B$24-0.000000001,0),D214*Calculator!$B$8/3600/Calculator!$B$24))</f>
        <v/>
      </c>
      <c r="F214" s="16">
        <f>IF(A214="","",IF(Calculator!$B$16=1,Calculator!$B$27,A214)*Calculator!$B$5*Calculator!$B$15)</f>
        <v/>
      </c>
      <c r="G214" s="16">
        <f>IF(A214="","",E214*Calculator!$B$6+Calculator!$C$37+F214+Calculator!$B$30)</f>
        <v/>
      </c>
      <c r="H214" s="16">
        <f>IF(A214="","",Calculator!$B$40-G214)</f>
        <v/>
      </c>
      <c r="I214" s="17">
        <f>IF(A214="","",A214*Calculator!$B$5*Calculator!$B$8/3600)</f>
        <v/>
      </c>
      <c r="J214" s="12">
        <f>IF(A214="","",Calculator!$B$35-E214)</f>
        <v/>
      </c>
    </row>
    <row r="215">
      <c r="A215" s="15">
        <f>IF(213/1000&lt;=Calculator!$B$27+0.0000001,213/1000,"")</f>
        <v/>
      </c>
      <c r="B215" s="15">
        <f>IF(A215="","",A215/Calculator!$B$27)</f>
        <v/>
      </c>
      <c r="C215" s="15">
        <f>IF(A215="","",Calculator!$B$27-A215)</f>
        <v/>
      </c>
      <c r="D215" s="17">
        <f>IF(A215="","",(Calculator!$B$11+C215)*Calculator!$B$5)</f>
        <v/>
      </c>
      <c r="E215" s="12">
        <f>IF(A215="","",IF(Calculator!$B$17=1,ROUNDUP(D215*Calculator!$B$8/3600/Calculator!$B$24-0.000000001,0),D215*Calculator!$B$8/3600/Calculator!$B$24))</f>
        <v/>
      </c>
      <c r="F215" s="16">
        <f>IF(A215="","",IF(Calculator!$B$16=1,Calculator!$B$27,A215)*Calculator!$B$5*Calculator!$B$15)</f>
        <v/>
      </c>
      <c r="G215" s="16">
        <f>IF(A215="","",E215*Calculator!$B$6+Calculator!$C$37+F215+Calculator!$B$30)</f>
        <v/>
      </c>
      <c r="H215" s="16">
        <f>IF(A215="","",Calculator!$B$40-G215)</f>
        <v/>
      </c>
      <c r="I215" s="17">
        <f>IF(A215="","",A215*Calculator!$B$5*Calculator!$B$8/3600)</f>
        <v/>
      </c>
      <c r="J215" s="12">
        <f>IF(A215="","",Calculator!$B$35-E215)</f>
        <v/>
      </c>
    </row>
    <row r="216">
      <c r="A216" s="15">
        <f>IF(214/1000&lt;=Calculator!$B$27+0.0000001,214/1000,"")</f>
        <v/>
      </c>
      <c r="B216" s="15">
        <f>IF(A216="","",A216/Calculator!$B$27)</f>
        <v/>
      </c>
      <c r="C216" s="15">
        <f>IF(A216="","",Calculator!$B$27-A216)</f>
        <v/>
      </c>
      <c r="D216" s="17">
        <f>IF(A216="","",(Calculator!$B$11+C216)*Calculator!$B$5)</f>
        <v/>
      </c>
      <c r="E216" s="12">
        <f>IF(A216="","",IF(Calculator!$B$17=1,ROUNDUP(D216*Calculator!$B$8/3600/Calculator!$B$24-0.000000001,0),D216*Calculator!$B$8/3600/Calculator!$B$24))</f>
        <v/>
      </c>
      <c r="F216" s="16">
        <f>IF(A216="","",IF(Calculator!$B$16=1,Calculator!$B$27,A216)*Calculator!$B$5*Calculator!$B$15)</f>
        <v/>
      </c>
      <c r="G216" s="16">
        <f>IF(A216="","",E216*Calculator!$B$6+Calculator!$C$37+F216+Calculator!$B$30)</f>
        <v/>
      </c>
      <c r="H216" s="16">
        <f>IF(A216="","",Calculator!$B$40-G216)</f>
        <v/>
      </c>
      <c r="I216" s="17">
        <f>IF(A216="","",A216*Calculator!$B$5*Calculator!$B$8/3600)</f>
        <v/>
      </c>
      <c r="J216" s="12">
        <f>IF(A216="","",Calculator!$B$35-E216)</f>
        <v/>
      </c>
    </row>
    <row r="217">
      <c r="A217" s="15">
        <f>IF(215/1000&lt;=Calculator!$B$27+0.0000001,215/1000,"")</f>
        <v/>
      </c>
      <c r="B217" s="15">
        <f>IF(A217="","",A217/Calculator!$B$27)</f>
        <v/>
      </c>
      <c r="C217" s="15">
        <f>IF(A217="","",Calculator!$B$27-A217)</f>
        <v/>
      </c>
      <c r="D217" s="17">
        <f>IF(A217="","",(Calculator!$B$11+C217)*Calculator!$B$5)</f>
        <v/>
      </c>
      <c r="E217" s="12">
        <f>IF(A217="","",IF(Calculator!$B$17=1,ROUNDUP(D217*Calculator!$B$8/3600/Calculator!$B$24-0.000000001,0),D217*Calculator!$B$8/3600/Calculator!$B$24))</f>
        <v/>
      </c>
      <c r="F217" s="16">
        <f>IF(A217="","",IF(Calculator!$B$16=1,Calculator!$B$27,A217)*Calculator!$B$5*Calculator!$B$15)</f>
        <v/>
      </c>
      <c r="G217" s="16">
        <f>IF(A217="","",E217*Calculator!$B$6+Calculator!$C$37+F217+Calculator!$B$30)</f>
        <v/>
      </c>
      <c r="H217" s="16">
        <f>IF(A217="","",Calculator!$B$40-G217)</f>
        <v/>
      </c>
      <c r="I217" s="17">
        <f>IF(A217="","",A217*Calculator!$B$5*Calculator!$B$8/3600)</f>
        <v/>
      </c>
      <c r="J217" s="12">
        <f>IF(A217="","",Calculator!$B$35-E217)</f>
        <v/>
      </c>
    </row>
    <row r="218">
      <c r="A218" s="15">
        <f>IF(216/1000&lt;=Calculator!$B$27+0.0000001,216/1000,"")</f>
        <v/>
      </c>
      <c r="B218" s="15">
        <f>IF(A218="","",A218/Calculator!$B$27)</f>
        <v/>
      </c>
      <c r="C218" s="15">
        <f>IF(A218="","",Calculator!$B$27-A218)</f>
        <v/>
      </c>
      <c r="D218" s="17">
        <f>IF(A218="","",(Calculator!$B$11+C218)*Calculator!$B$5)</f>
        <v/>
      </c>
      <c r="E218" s="12">
        <f>IF(A218="","",IF(Calculator!$B$17=1,ROUNDUP(D218*Calculator!$B$8/3600/Calculator!$B$24-0.000000001,0),D218*Calculator!$B$8/3600/Calculator!$B$24))</f>
        <v/>
      </c>
      <c r="F218" s="16">
        <f>IF(A218="","",IF(Calculator!$B$16=1,Calculator!$B$27,A218)*Calculator!$B$5*Calculator!$B$15)</f>
        <v/>
      </c>
      <c r="G218" s="16">
        <f>IF(A218="","",E218*Calculator!$B$6+Calculator!$C$37+F218+Calculator!$B$30)</f>
        <v/>
      </c>
      <c r="H218" s="16">
        <f>IF(A218="","",Calculator!$B$40-G218)</f>
        <v/>
      </c>
      <c r="I218" s="17">
        <f>IF(A218="","",A218*Calculator!$B$5*Calculator!$B$8/3600)</f>
        <v/>
      </c>
      <c r="J218" s="12">
        <f>IF(A218="","",Calculator!$B$35-E218)</f>
        <v/>
      </c>
    </row>
    <row r="219">
      <c r="A219" s="15">
        <f>IF(217/1000&lt;=Calculator!$B$27+0.0000001,217/1000,"")</f>
        <v/>
      </c>
      <c r="B219" s="15">
        <f>IF(A219="","",A219/Calculator!$B$27)</f>
        <v/>
      </c>
      <c r="C219" s="15">
        <f>IF(A219="","",Calculator!$B$27-A219)</f>
        <v/>
      </c>
      <c r="D219" s="17">
        <f>IF(A219="","",(Calculator!$B$11+C219)*Calculator!$B$5)</f>
        <v/>
      </c>
      <c r="E219" s="12">
        <f>IF(A219="","",IF(Calculator!$B$17=1,ROUNDUP(D219*Calculator!$B$8/3600/Calculator!$B$24-0.000000001,0),D219*Calculator!$B$8/3600/Calculator!$B$24))</f>
        <v/>
      </c>
      <c r="F219" s="16">
        <f>IF(A219="","",IF(Calculator!$B$16=1,Calculator!$B$27,A219)*Calculator!$B$5*Calculator!$B$15)</f>
        <v/>
      </c>
      <c r="G219" s="16">
        <f>IF(A219="","",E219*Calculator!$B$6+Calculator!$C$37+F219+Calculator!$B$30)</f>
        <v/>
      </c>
      <c r="H219" s="16">
        <f>IF(A219="","",Calculator!$B$40-G219)</f>
        <v/>
      </c>
      <c r="I219" s="17">
        <f>IF(A219="","",A219*Calculator!$B$5*Calculator!$B$8/3600)</f>
        <v/>
      </c>
      <c r="J219" s="12">
        <f>IF(A219="","",Calculator!$B$35-E219)</f>
        <v/>
      </c>
    </row>
    <row r="220">
      <c r="A220" s="15">
        <f>IF(218/1000&lt;=Calculator!$B$27+0.0000001,218/1000,"")</f>
        <v/>
      </c>
      <c r="B220" s="15">
        <f>IF(A220="","",A220/Calculator!$B$27)</f>
        <v/>
      </c>
      <c r="C220" s="15">
        <f>IF(A220="","",Calculator!$B$27-A220)</f>
        <v/>
      </c>
      <c r="D220" s="17">
        <f>IF(A220="","",(Calculator!$B$11+C220)*Calculator!$B$5)</f>
        <v/>
      </c>
      <c r="E220" s="12">
        <f>IF(A220="","",IF(Calculator!$B$17=1,ROUNDUP(D220*Calculator!$B$8/3600/Calculator!$B$24-0.000000001,0),D220*Calculator!$B$8/3600/Calculator!$B$24))</f>
        <v/>
      </c>
      <c r="F220" s="16">
        <f>IF(A220="","",IF(Calculator!$B$16=1,Calculator!$B$27,A220)*Calculator!$B$5*Calculator!$B$15)</f>
        <v/>
      </c>
      <c r="G220" s="16">
        <f>IF(A220="","",E220*Calculator!$B$6+Calculator!$C$37+F220+Calculator!$B$30)</f>
        <v/>
      </c>
      <c r="H220" s="16">
        <f>IF(A220="","",Calculator!$B$40-G220)</f>
        <v/>
      </c>
      <c r="I220" s="17">
        <f>IF(A220="","",A220*Calculator!$B$5*Calculator!$B$8/3600)</f>
        <v/>
      </c>
      <c r="J220" s="12">
        <f>IF(A220="","",Calculator!$B$35-E220)</f>
        <v/>
      </c>
    </row>
    <row r="221">
      <c r="A221" s="15">
        <f>IF(219/1000&lt;=Calculator!$B$27+0.0000001,219/1000,"")</f>
        <v/>
      </c>
      <c r="B221" s="15">
        <f>IF(A221="","",A221/Calculator!$B$27)</f>
        <v/>
      </c>
      <c r="C221" s="15">
        <f>IF(A221="","",Calculator!$B$27-A221)</f>
        <v/>
      </c>
      <c r="D221" s="17">
        <f>IF(A221="","",(Calculator!$B$11+C221)*Calculator!$B$5)</f>
        <v/>
      </c>
      <c r="E221" s="12">
        <f>IF(A221="","",IF(Calculator!$B$17=1,ROUNDUP(D221*Calculator!$B$8/3600/Calculator!$B$24-0.000000001,0),D221*Calculator!$B$8/3600/Calculator!$B$24))</f>
        <v/>
      </c>
      <c r="F221" s="16">
        <f>IF(A221="","",IF(Calculator!$B$16=1,Calculator!$B$27,A221)*Calculator!$B$5*Calculator!$B$15)</f>
        <v/>
      </c>
      <c r="G221" s="16">
        <f>IF(A221="","",E221*Calculator!$B$6+Calculator!$C$37+F221+Calculator!$B$30)</f>
        <v/>
      </c>
      <c r="H221" s="16">
        <f>IF(A221="","",Calculator!$B$40-G221)</f>
        <v/>
      </c>
      <c r="I221" s="17">
        <f>IF(A221="","",A221*Calculator!$B$5*Calculator!$B$8/3600)</f>
        <v/>
      </c>
      <c r="J221" s="12">
        <f>IF(A221="","",Calculator!$B$35-E221)</f>
        <v/>
      </c>
    </row>
    <row r="222">
      <c r="A222" s="15">
        <f>IF(220/1000&lt;=Calculator!$B$27+0.0000001,220/1000,"")</f>
        <v/>
      </c>
      <c r="B222" s="15">
        <f>IF(A222="","",A222/Calculator!$B$27)</f>
        <v/>
      </c>
      <c r="C222" s="15">
        <f>IF(A222="","",Calculator!$B$27-A222)</f>
        <v/>
      </c>
      <c r="D222" s="17">
        <f>IF(A222="","",(Calculator!$B$11+C222)*Calculator!$B$5)</f>
        <v/>
      </c>
      <c r="E222" s="12">
        <f>IF(A222="","",IF(Calculator!$B$17=1,ROUNDUP(D222*Calculator!$B$8/3600/Calculator!$B$24-0.000000001,0),D222*Calculator!$B$8/3600/Calculator!$B$24))</f>
        <v/>
      </c>
      <c r="F222" s="16">
        <f>IF(A222="","",IF(Calculator!$B$16=1,Calculator!$B$27,A222)*Calculator!$B$5*Calculator!$B$15)</f>
        <v/>
      </c>
      <c r="G222" s="16">
        <f>IF(A222="","",E222*Calculator!$B$6+Calculator!$C$37+F222+Calculator!$B$30)</f>
        <v/>
      </c>
      <c r="H222" s="16">
        <f>IF(A222="","",Calculator!$B$40-G222)</f>
        <v/>
      </c>
      <c r="I222" s="17">
        <f>IF(A222="","",A222*Calculator!$B$5*Calculator!$B$8/3600)</f>
        <v/>
      </c>
      <c r="J222" s="12">
        <f>IF(A222="","",Calculator!$B$35-E222)</f>
        <v/>
      </c>
    </row>
    <row r="223">
      <c r="A223" s="15">
        <f>IF(221/1000&lt;=Calculator!$B$27+0.0000001,221/1000,"")</f>
        <v/>
      </c>
      <c r="B223" s="15">
        <f>IF(A223="","",A223/Calculator!$B$27)</f>
        <v/>
      </c>
      <c r="C223" s="15">
        <f>IF(A223="","",Calculator!$B$27-A223)</f>
        <v/>
      </c>
      <c r="D223" s="17">
        <f>IF(A223="","",(Calculator!$B$11+C223)*Calculator!$B$5)</f>
        <v/>
      </c>
      <c r="E223" s="12">
        <f>IF(A223="","",IF(Calculator!$B$17=1,ROUNDUP(D223*Calculator!$B$8/3600/Calculator!$B$24-0.000000001,0),D223*Calculator!$B$8/3600/Calculator!$B$24))</f>
        <v/>
      </c>
      <c r="F223" s="16">
        <f>IF(A223="","",IF(Calculator!$B$16=1,Calculator!$B$27,A223)*Calculator!$B$5*Calculator!$B$15)</f>
        <v/>
      </c>
      <c r="G223" s="16">
        <f>IF(A223="","",E223*Calculator!$B$6+Calculator!$C$37+F223+Calculator!$B$30)</f>
        <v/>
      </c>
      <c r="H223" s="16">
        <f>IF(A223="","",Calculator!$B$40-G223)</f>
        <v/>
      </c>
      <c r="I223" s="17">
        <f>IF(A223="","",A223*Calculator!$B$5*Calculator!$B$8/3600)</f>
        <v/>
      </c>
      <c r="J223" s="12">
        <f>IF(A223="","",Calculator!$B$35-E223)</f>
        <v/>
      </c>
    </row>
    <row r="224">
      <c r="A224" s="15">
        <f>IF(222/1000&lt;=Calculator!$B$27+0.0000001,222/1000,"")</f>
        <v/>
      </c>
      <c r="B224" s="15">
        <f>IF(A224="","",A224/Calculator!$B$27)</f>
        <v/>
      </c>
      <c r="C224" s="15">
        <f>IF(A224="","",Calculator!$B$27-A224)</f>
        <v/>
      </c>
      <c r="D224" s="17">
        <f>IF(A224="","",(Calculator!$B$11+C224)*Calculator!$B$5)</f>
        <v/>
      </c>
      <c r="E224" s="12">
        <f>IF(A224="","",IF(Calculator!$B$17=1,ROUNDUP(D224*Calculator!$B$8/3600/Calculator!$B$24-0.000000001,0),D224*Calculator!$B$8/3600/Calculator!$B$24))</f>
        <v/>
      </c>
      <c r="F224" s="16">
        <f>IF(A224="","",IF(Calculator!$B$16=1,Calculator!$B$27,A224)*Calculator!$B$5*Calculator!$B$15)</f>
        <v/>
      </c>
      <c r="G224" s="16">
        <f>IF(A224="","",E224*Calculator!$B$6+Calculator!$C$37+F224+Calculator!$B$30)</f>
        <v/>
      </c>
      <c r="H224" s="16">
        <f>IF(A224="","",Calculator!$B$40-G224)</f>
        <v/>
      </c>
      <c r="I224" s="17">
        <f>IF(A224="","",A224*Calculator!$B$5*Calculator!$B$8/3600)</f>
        <v/>
      </c>
      <c r="J224" s="12">
        <f>IF(A224="","",Calculator!$B$35-E224)</f>
        <v/>
      </c>
    </row>
    <row r="225">
      <c r="A225" s="15">
        <f>IF(223/1000&lt;=Calculator!$B$27+0.0000001,223/1000,"")</f>
        <v/>
      </c>
      <c r="B225" s="15">
        <f>IF(A225="","",A225/Calculator!$B$27)</f>
        <v/>
      </c>
      <c r="C225" s="15">
        <f>IF(A225="","",Calculator!$B$27-A225)</f>
        <v/>
      </c>
      <c r="D225" s="17">
        <f>IF(A225="","",(Calculator!$B$11+C225)*Calculator!$B$5)</f>
        <v/>
      </c>
      <c r="E225" s="12">
        <f>IF(A225="","",IF(Calculator!$B$17=1,ROUNDUP(D225*Calculator!$B$8/3600/Calculator!$B$24-0.000000001,0),D225*Calculator!$B$8/3600/Calculator!$B$24))</f>
        <v/>
      </c>
      <c r="F225" s="16">
        <f>IF(A225="","",IF(Calculator!$B$16=1,Calculator!$B$27,A225)*Calculator!$B$5*Calculator!$B$15)</f>
        <v/>
      </c>
      <c r="G225" s="16">
        <f>IF(A225="","",E225*Calculator!$B$6+Calculator!$C$37+F225+Calculator!$B$30)</f>
        <v/>
      </c>
      <c r="H225" s="16">
        <f>IF(A225="","",Calculator!$B$40-G225)</f>
        <v/>
      </c>
      <c r="I225" s="17">
        <f>IF(A225="","",A225*Calculator!$B$5*Calculator!$B$8/3600)</f>
        <v/>
      </c>
      <c r="J225" s="12">
        <f>IF(A225="","",Calculator!$B$35-E225)</f>
        <v/>
      </c>
    </row>
    <row r="226">
      <c r="A226" s="15">
        <f>IF(224/1000&lt;=Calculator!$B$27+0.0000001,224/1000,"")</f>
        <v/>
      </c>
      <c r="B226" s="15">
        <f>IF(A226="","",A226/Calculator!$B$27)</f>
        <v/>
      </c>
      <c r="C226" s="15">
        <f>IF(A226="","",Calculator!$B$27-A226)</f>
        <v/>
      </c>
      <c r="D226" s="17">
        <f>IF(A226="","",(Calculator!$B$11+C226)*Calculator!$B$5)</f>
        <v/>
      </c>
      <c r="E226" s="12">
        <f>IF(A226="","",IF(Calculator!$B$17=1,ROUNDUP(D226*Calculator!$B$8/3600/Calculator!$B$24-0.000000001,0),D226*Calculator!$B$8/3600/Calculator!$B$24))</f>
        <v/>
      </c>
      <c r="F226" s="16">
        <f>IF(A226="","",IF(Calculator!$B$16=1,Calculator!$B$27,A226)*Calculator!$B$5*Calculator!$B$15)</f>
        <v/>
      </c>
      <c r="G226" s="16">
        <f>IF(A226="","",E226*Calculator!$B$6+Calculator!$C$37+F226+Calculator!$B$30)</f>
        <v/>
      </c>
      <c r="H226" s="16">
        <f>IF(A226="","",Calculator!$B$40-G226)</f>
        <v/>
      </c>
      <c r="I226" s="17">
        <f>IF(A226="","",A226*Calculator!$B$5*Calculator!$B$8/3600)</f>
        <v/>
      </c>
      <c r="J226" s="12">
        <f>IF(A226="","",Calculator!$B$35-E226)</f>
        <v/>
      </c>
    </row>
    <row r="227">
      <c r="A227" s="15">
        <f>IF(225/1000&lt;=Calculator!$B$27+0.0000001,225/1000,"")</f>
        <v/>
      </c>
      <c r="B227" s="15">
        <f>IF(A227="","",A227/Calculator!$B$27)</f>
        <v/>
      </c>
      <c r="C227" s="15">
        <f>IF(A227="","",Calculator!$B$27-A227)</f>
        <v/>
      </c>
      <c r="D227" s="17">
        <f>IF(A227="","",(Calculator!$B$11+C227)*Calculator!$B$5)</f>
        <v/>
      </c>
      <c r="E227" s="12">
        <f>IF(A227="","",IF(Calculator!$B$17=1,ROUNDUP(D227*Calculator!$B$8/3600/Calculator!$B$24-0.000000001,0),D227*Calculator!$B$8/3600/Calculator!$B$24))</f>
        <v/>
      </c>
      <c r="F227" s="16">
        <f>IF(A227="","",IF(Calculator!$B$16=1,Calculator!$B$27,A227)*Calculator!$B$5*Calculator!$B$15)</f>
        <v/>
      </c>
      <c r="G227" s="16">
        <f>IF(A227="","",E227*Calculator!$B$6+Calculator!$C$37+F227+Calculator!$B$30)</f>
        <v/>
      </c>
      <c r="H227" s="16">
        <f>IF(A227="","",Calculator!$B$40-G227)</f>
        <v/>
      </c>
      <c r="I227" s="17">
        <f>IF(A227="","",A227*Calculator!$B$5*Calculator!$B$8/3600)</f>
        <v/>
      </c>
      <c r="J227" s="12">
        <f>IF(A227="","",Calculator!$B$35-E227)</f>
        <v/>
      </c>
    </row>
    <row r="228">
      <c r="A228" s="15">
        <f>IF(226/1000&lt;=Calculator!$B$27+0.0000001,226/1000,"")</f>
        <v/>
      </c>
      <c r="B228" s="15">
        <f>IF(A228="","",A228/Calculator!$B$27)</f>
        <v/>
      </c>
      <c r="C228" s="15">
        <f>IF(A228="","",Calculator!$B$27-A228)</f>
        <v/>
      </c>
      <c r="D228" s="17">
        <f>IF(A228="","",(Calculator!$B$11+C228)*Calculator!$B$5)</f>
        <v/>
      </c>
      <c r="E228" s="12">
        <f>IF(A228="","",IF(Calculator!$B$17=1,ROUNDUP(D228*Calculator!$B$8/3600/Calculator!$B$24-0.000000001,0),D228*Calculator!$B$8/3600/Calculator!$B$24))</f>
        <v/>
      </c>
      <c r="F228" s="16">
        <f>IF(A228="","",IF(Calculator!$B$16=1,Calculator!$B$27,A228)*Calculator!$B$5*Calculator!$B$15)</f>
        <v/>
      </c>
      <c r="G228" s="16">
        <f>IF(A228="","",E228*Calculator!$B$6+Calculator!$C$37+F228+Calculator!$B$30)</f>
        <v/>
      </c>
      <c r="H228" s="16">
        <f>IF(A228="","",Calculator!$B$40-G228)</f>
        <v/>
      </c>
      <c r="I228" s="17">
        <f>IF(A228="","",A228*Calculator!$B$5*Calculator!$B$8/3600)</f>
        <v/>
      </c>
      <c r="J228" s="12">
        <f>IF(A228="","",Calculator!$B$35-E228)</f>
        <v/>
      </c>
    </row>
    <row r="229">
      <c r="A229" s="15">
        <f>IF(227/1000&lt;=Calculator!$B$27+0.0000001,227/1000,"")</f>
        <v/>
      </c>
      <c r="B229" s="15">
        <f>IF(A229="","",A229/Calculator!$B$27)</f>
        <v/>
      </c>
      <c r="C229" s="15">
        <f>IF(A229="","",Calculator!$B$27-A229)</f>
        <v/>
      </c>
      <c r="D229" s="17">
        <f>IF(A229="","",(Calculator!$B$11+C229)*Calculator!$B$5)</f>
        <v/>
      </c>
      <c r="E229" s="12">
        <f>IF(A229="","",IF(Calculator!$B$17=1,ROUNDUP(D229*Calculator!$B$8/3600/Calculator!$B$24-0.000000001,0),D229*Calculator!$B$8/3600/Calculator!$B$24))</f>
        <v/>
      </c>
      <c r="F229" s="16">
        <f>IF(A229="","",IF(Calculator!$B$16=1,Calculator!$B$27,A229)*Calculator!$B$5*Calculator!$B$15)</f>
        <v/>
      </c>
      <c r="G229" s="16">
        <f>IF(A229="","",E229*Calculator!$B$6+Calculator!$C$37+F229+Calculator!$B$30)</f>
        <v/>
      </c>
      <c r="H229" s="16">
        <f>IF(A229="","",Calculator!$B$40-G229)</f>
        <v/>
      </c>
      <c r="I229" s="17">
        <f>IF(A229="","",A229*Calculator!$B$5*Calculator!$B$8/3600)</f>
        <v/>
      </c>
      <c r="J229" s="12">
        <f>IF(A229="","",Calculator!$B$35-E229)</f>
        <v/>
      </c>
    </row>
    <row r="230">
      <c r="A230" s="15">
        <f>IF(228/1000&lt;=Calculator!$B$27+0.0000001,228/1000,"")</f>
        <v/>
      </c>
      <c r="B230" s="15">
        <f>IF(A230="","",A230/Calculator!$B$27)</f>
        <v/>
      </c>
      <c r="C230" s="15">
        <f>IF(A230="","",Calculator!$B$27-A230)</f>
        <v/>
      </c>
      <c r="D230" s="17">
        <f>IF(A230="","",(Calculator!$B$11+C230)*Calculator!$B$5)</f>
        <v/>
      </c>
      <c r="E230" s="12">
        <f>IF(A230="","",IF(Calculator!$B$17=1,ROUNDUP(D230*Calculator!$B$8/3600/Calculator!$B$24-0.000000001,0),D230*Calculator!$B$8/3600/Calculator!$B$24))</f>
        <v/>
      </c>
      <c r="F230" s="16">
        <f>IF(A230="","",IF(Calculator!$B$16=1,Calculator!$B$27,A230)*Calculator!$B$5*Calculator!$B$15)</f>
        <v/>
      </c>
      <c r="G230" s="16">
        <f>IF(A230="","",E230*Calculator!$B$6+Calculator!$C$37+F230+Calculator!$B$30)</f>
        <v/>
      </c>
      <c r="H230" s="16">
        <f>IF(A230="","",Calculator!$B$40-G230)</f>
        <v/>
      </c>
      <c r="I230" s="17">
        <f>IF(A230="","",A230*Calculator!$B$5*Calculator!$B$8/3600)</f>
        <v/>
      </c>
      <c r="J230" s="12">
        <f>IF(A230="","",Calculator!$B$35-E230)</f>
        <v/>
      </c>
    </row>
    <row r="231">
      <c r="A231" s="15">
        <f>IF(229/1000&lt;=Calculator!$B$27+0.0000001,229/1000,"")</f>
        <v/>
      </c>
      <c r="B231" s="15">
        <f>IF(A231="","",A231/Calculator!$B$27)</f>
        <v/>
      </c>
      <c r="C231" s="15">
        <f>IF(A231="","",Calculator!$B$27-A231)</f>
        <v/>
      </c>
      <c r="D231" s="17">
        <f>IF(A231="","",(Calculator!$B$11+C231)*Calculator!$B$5)</f>
        <v/>
      </c>
      <c r="E231" s="12">
        <f>IF(A231="","",IF(Calculator!$B$17=1,ROUNDUP(D231*Calculator!$B$8/3600/Calculator!$B$24-0.000000001,0),D231*Calculator!$B$8/3600/Calculator!$B$24))</f>
        <v/>
      </c>
      <c r="F231" s="16">
        <f>IF(A231="","",IF(Calculator!$B$16=1,Calculator!$B$27,A231)*Calculator!$B$5*Calculator!$B$15)</f>
        <v/>
      </c>
      <c r="G231" s="16">
        <f>IF(A231="","",E231*Calculator!$B$6+Calculator!$C$37+F231+Calculator!$B$30)</f>
        <v/>
      </c>
      <c r="H231" s="16">
        <f>IF(A231="","",Calculator!$B$40-G231)</f>
        <v/>
      </c>
      <c r="I231" s="17">
        <f>IF(A231="","",A231*Calculator!$B$5*Calculator!$B$8/3600)</f>
        <v/>
      </c>
      <c r="J231" s="12">
        <f>IF(A231="","",Calculator!$B$35-E231)</f>
        <v/>
      </c>
    </row>
    <row r="232">
      <c r="A232" s="15">
        <f>IF(230/1000&lt;=Calculator!$B$27+0.0000001,230/1000,"")</f>
        <v/>
      </c>
      <c r="B232" s="15">
        <f>IF(A232="","",A232/Calculator!$B$27)</f>
        <v/>
      </c>
      <c r="C232" s="15">
        <f>IF(A232="","",Calculator!$B$27-A232)</f>
        <v/>
      </c>
      <c r="D232" s="17">
        <f>IF(A232="","",(Calculator!$B$11+C232)*Calculator!$B$5)</f>
        <v/>
      </c>
      <c r="E232" s="12">
        <f>IF(A232="","",IF(Calculator!$B$17=1,ROUNDUP(D232*Calculator!$B$8/3600/Calculator!$B$24-0.000000001,0),D232*Calculator!$B$8/3600/Calculator!$B$24))</f>
        <v/>
      </c>
      <c r="F232" s="16">
        <f>IF(A232="","",IF(Calculator!$B$16=1,Calculator!$B$27,A232)*Calculator!$B$5*Calculator!$B$15)</f>
        <v/>
      </c>
      <c r="G232" s="16">
        <f>IF(A232="","",E232*Calculator!$B$6+Calculator!$C$37+F232+Calculator!$B$30)</f>
        <v/>
      </c>
      <c r="H232" s="16">
        <f>IF(A232="","",Calculator!$B$40-G232)</f>
        <v/>
      </c>
      <c r="I232" s="17">
        <f>IF(A232="","",A232*Calculator!$B$5*Calculator!$B$8/3600)</f>
        <v/>
      </c>
      <c r="J232" s="12">
        <f>IF(A232="","",Calculator!$B$35-E232)</f>
        <v/>
      </c>
    </row>
    <row r="233">
      <c r="A233" s="15">
        <f>IF(231/1000&lt;=Calculator!$B$27+0.0000001,231/1000,"")</f>
        <v/>
      </c>
      <c r="B233" s="15">
        <f>IF(A233="","",A233/Calculator!$B$27)</f>
        <v/>
      </c>
      <c r="C233" s="15">
        <f>IF(A233="","",Calculator!$B$27-A233)</f>
        <v/>
      </c>
      <c r="D233" s="17">
        <f>IF(A233="","",(Calculator!$B$11+C233)*Calculator!$B$5)</f>
        <v/>
      </c>
      <c r="E233" s="12">
        <f>IF(A233="","",IF(Calculator!$B$17=1,ROUNDUP(D233*Calculator!$B$8/3600/Calculator!$B$24-0.000000001,0),D233*Calculator!$B$8/3600/Calculator!$B$24))</f>
        <v/>
      </c>
      <c r="F233" s="16">
        <f>IF(A233="","",IF(Calculator!$B$16=1,Calculator!$B$27,A233)*Calculator!$B$5*Calculator!$B$15)</f>
        <v/>
      </c>
      <c r="G233" s="16">
        <f>IF(A233="","",E233*Calculator!$B$6+Calculator!$C$37+F233+Calculator!$B$30)</f>
        <v/>
      </c>
      <c r="H233" s="16">
        <f>IF(A233="","",Calculator!$B$40-G233)</f>
        <v/>
      </c>
      <c r="I233" s="17">
        <f>IF(A233="","",A233*Calculator!$B$5*Calculator!$B$8/3600)</f>
        <v/>
      </c>
      <c r="J233" s="12">
        <f>IF(A233="","",Calculator!$B$35-E233)</f>
        <v/>
      </c>
    </row>
    <row r="234">
      <c r="A234" s="15">
        <f>IF(232/1000&lt;=Calculator!$B$27+0.0000001,232/1000,"")</f>
        <v/>
      </c>
      <c r="B234" s="15">
        <f>IF(A234="","",A234/Calculator!$B$27)</f>
        <v/>
      </c>
      <c r="C234" s="15">
        <f>IF(A234="","",Calculator!$B$27-A234)</f>
        <v/>
      </c>
      <c r="D234" s="17">
        <f>IF(A234="","",(Calculator!$B$11+C234)*Calculator!$B$5)</f>
        <v/>
      </c>
      <c r="E234" s="12">
        <f>IF(A234="","",IF(Calculator!$B$17=1,ROUNDUP(D234*Calculator!$B$8/3600/Calculator!$B$24-0.000000001,0),D234*Calculator!$B$8/3600/Calculator!$B$24))</f>
        <v/>
      </c>
      <c r="F234" s="16">
        <f>IF(A234="","",IF(Calculator!$B$16=1,Calculator!$B$27,A234)*Calculator!$B$5*Calculator!$B$15)</f>
        <v/>
      </c>
      <c r="G234" s="16">
        <f>IF(A234="","",E234*Calculator!$B$6+Calculator!$C$37+F234+Calculator!$B$30)</f>
        <v/>
      </c>
      <c r="H234" s="16">
        <f>IF(A234="","",Calculator!$B$40-G234)</f>
        <v/>
      </c>
      <c r="I234" s="17">
        <f>IF(A234="","",A234*Calculator!$B$5*Calculator!$B$8/3600)</f>
        <v/>
      </c>
      <c r="J234" s="12">
        <f>IF(A234="","",Calculator!$B$35-E234)</f>
        <v/>
      </c>
    </row>
    <row r="235">
      <c r="A235" s="15">
        <f>IF(233/1000&lt;=Calculator!$B$27+0.0000001,233/1000,"")</f>
        <v/>
      </c>
      <c r="B235" s="15">
        <f>IF(A235="","",A235/Calculator!$B$27)</f>
        <v/>
      </c>
      <c r="C235" s="15">
        <f>IF(A235="","",Calculator!$B$27-A235)</f>
        <v/>
      </c>
      <c r="D235" s="17">
        <f>IF(A235="","",(Calculator!$B$11+C235)*Calculator!$B$5)</f>
        <v/>
      </c>
      <c r="E235" s="12">
        <f>IF(A235="","",IF(Calculator!$B$17=1,ROUNDUP(D235*Calculator!$B$8/3600/Calculator!$B$24-0.000000001,0),D235*Calculator!$B$8/3600/Calculator!$B$24))</f>
        <v/>
      </c>
      <c r="F235" s="16">
        <f>IF(A235="","",IF(Calculator!$B$16=1,Calculator!$B$27,A235)*Calculator!$B$5*Calculator!$B$15)</f>
        <v/>
      </c>
      <c r="G235" s="16">
        <f>IF(A235="","",E235*Calculator!$B$6+Calculator!$C$37+F235+Calculator!$B$30)</f>
        <v/>
      </c>
      <c r="H235" s="16">
        <f>IF(A235="","",Calculator!$B$40-G235)</f>
        <v/>
      </c>
      <c r="I235" s="17">
        <f>IF(A235="","",A235*Calculator!$B$5*Calculator!$B$8/3600)</f>
        <v/>
      </c>
      <c r="J235" s="12">
        <f>IF(A235="","",Calculator!$B$35-E235)</f>
        <v/>
      </c>
    </row>
    <row r="236">
      <c r="A236" s="15">
        <f>IF(234/1000&lt;=Calculator!$B$27+0.0000001,234/1000,"")</f>
        <v/>
      </c>
      <c r="B236" s="15">
        <f>IF(A236="","",A236/Calculator!$B$27)</f>
        <v/>
      </c>
      <c r="C236" s="15">
        <f>IF(A236="","",Calculator!$B$27-A236)</f>
        <v/>
      </c>
      <c r="D236" s="17">
        <f>IF(A236="","",(Calculator!$B$11+C236)*Calculator!$B$5)</f>
        <v/>
      </c>
      <c r="E236" s="12">
        <f>IF(A236="","",IF(Calculator!$B$17=1,ROUNDUP(D236*Calculator!$B$8/3600/Calculator!$B$24-0.000000001,0),D236*Calculator!$B$8/3600/Calculator!$B$24))</f>
        <v/>
      </c>
      <c r="F236" s="16">
        <f>IF(A236="","",IF(Calculator!$B$16=1,Calculator!$B$27,A236)*Calculator!$B$5*Calculator!$B$15)</f>
        <v/>
      </c>
      <c r="G236" s="16">
        <f>IF(A236="","",E236*Calculator!$B$6+Calculator!$C$37+F236+Calculator!$B$30)</f>
        <v/>
      </c>
      <c r="H236" s="16">
        <f>IF(A236="","",Calculator!$B$40-G236)</f>
        <v/>
      </c>
      <c r="I236" s="17">
        <f>IF(A236="","",A236*Calculator!$B$5*Calculator!$B$8/3600)</f>
        <v/>
      </c>
      <c r="J236" s="12">
        <f>IF(A236="","",Calculator!$B$35-E236)</f>
        <v/>
      </c>
    </row>
    <row r="237">
      <c r="A237" s="15">
        <f>IF(235/1000&lt;=Calculator!$B$27+0.0000001,235/1000,"")</f>
        <v/>
      </c>
      <c r="B237" s="15">
        <f>IF(A237="","",A237/Calculator!$B$27)</f>
        <v/>
      </c>
      <c r="C237" s="15">
        <f>IF(A237="","",Calculator!$B$27-A237)</f>
        <v/>
      </c>
      <c r="D237" s="17">
        <f>IF(A237="","",(Calculator!$B$11+C237)*Calculator!$B$5)</f>
        <v/>
      </c>
      <c r="E237" s="12">
        <f>IF(A237="","",IF(Calculator!$B$17=1,ROUNDUP(D237*Calculator!$B$8/3600/Calculator!$B$24-0.000000001,0),D237*Calculator!$B$8/3600/Calculator!$B$24))</f>
        <v/>
      </c>
      <c r="F237" s="16">
        <f>IF(A237="","",IF(Calculator!$B$16=1,Calculator!$B$27,A237)*Calculator!$B$5*Calculator!$B$15)</f>
        <v/>
      </c>
      <c r="G237" s="16">
        <f>IF(A237="","",E237*Calculator!$B$6+Calculator!$C$37+F237+Calculator!$B$30)</f>
        <v/>
      </c>
      <c r="H237" s="16">
        <f>IF(A237="","",Calculator!$B$40-G237)</f>
        <v/>
      </c>
      <c r="I237" s="17">
        <f>IF(A237="","",A237*Calculator!$B$5*Calculator!$B$8/3600)</f>
        <v/>
      </c>
      <c r="J237" s="12">
        <f>IF(A237="","",Calculator!$B$35-E237)</f>
        <v/>
      </c>
    </row>
    <row r="238">
      <c r="A238" s="15">
        <f>IF(236/1000&lt;=Calculator!$B$27+0.0000001,236/1000,"")</f>
        <v/>
      </c>
      <c r="B238" s="15">
        <f>IF(A238="","",A238/Calculator!$B$27)</f>
        <v/>
      </c>
      <c r="C238" s="15">
        <f>IF(A238="","",Calculator!$B$27-A238)</f>
        <v/>
      </c>
      <c r="D238" s="17">
        <f>IF(A238="","",(Calculator!$B$11+C238)*Calculator!$B$5)</f>
        <v/>
      </c>
      <c r="E238" s="12">
        <f>IF(A238="","",IF(Calculator!$B$17=1,ROUNDUP(D238*Calculator!$B$8/3600/Calculator!$B$24-0.000000001,0),D238*Calculator!$B$8/3600/Calculator!$B$24))</f>
        <v/>
      </c>
      <c r="F238" s="16">
        <f>IF(A238="","",IF(Calculator!$B$16=1,Calculator!$B$27,A238)*Calculator!$B$5*Calculator!$B$15)</f>
        <v/>
      </c>
      <c r="G238" s="16">
        <f>IF(A238="","",E238*Calculator!$B$6+Calculator!$C$37+F238+Calculator!$B$30)</f>
        <v/>
      </c>
      <c r="H238" s="16">
        <f>IF(A238="","",Calculator!$B$40-G238)</f>
        <v/>
      </c>
      <c r="I238" s="17">
        <f>IF(A238="","",A238*Calculator!$B$5*Calculator!$B$8/3600)</f>
        <v/>
      </c>
      <c r="J238" s="12">
        <f>IF(A238="","",Calculator!$B$35-E238)</f>
        <v/>
      </c>
    </row>
    <row r="239">
      <c r="A239" s="15">
        <f>IF(237/1000&lt;=Calculator!$B$27+0.0000001,237/1000,"")</f>
        <v/>
      </c>
      <c r="B239" s="15">
        <f>IF(A239="","",A239/Calculator!$B$27)</f>
        <v/>
      </c>
      <c r="C239" s="15">
        <f>IF(A239="","",Calculator!$B$27-A239)</f>
        <v/>
      </c>
      <c r="D239" s="17">
        <f>IF(A239="","",(Calculator!$B$11+C239)*Calculator!$B$5)</f>
        <v/>
      </c>
      <c r="E239" s="12">
        <f>IF(A239="","",IF(Calculator!$B$17=1,ROUNDUP(D239*Calculator!$B$8/3600/Calculator!$B$24-0.000000001,0),D239*Calculator!$B$8/3600/Calculator!$B$24))</f>
        <v/>
      </c>
      <c r="F239" s="16">
        <f>IF(A239="","",IF(Calculator!$B$16=1,Calculator!$B$27,A239)*Calculator!$B$5*Calculator!$B$15)</f>
        <v/>
      </c>
      <c r="G239" s="16">
        <f>IF(A239="","",E239*Calculator!$B$6+Calculator!$C$37+F239+Calculator!$B$30)</f>
        <v/>
      </c>
      <c r="H239" s="16">
        <f>IF(A239="","",Calculator!$B$40-G239)</f>
        <v/>
      </c>
      <c r="I239" s="17">
        <f>IF(A239="","",A239*Calculator!$B$5*Calculator!$B$8/3600)</f>
        <v/>
      </c>
      <c r="J239" s="12">
        <f>IF(A239="","",Calculator!$B$35-E239)</f>
        <v/>
      </c>
    </row>
    <row r="240">
      <c r="A240" s="15">
        <f>IF(238/1000&lt;=Calculator!$B$27+0.0000001,238/1000,"")</f>
        <v/>
      </c>
      <c r="B240" s="15">
        <f>IF(A240="","",A240/Calculator!$B$27)</f>
        <v/>
      </c>
      <c r="C240" s="15">
        <f>IF(A240="","",Calculator!$B$27-A240)</f>
        <v/>
      </c>
      <c r="D240" s="17">
        <f>IF(A240="","",(Calculator!$B$11+C240)*Calculator!$B$5)</f>
        <v/>
      </c>
      <c r="E240" s="12">
        <f>IF(A240="","",IF(Calculator!$B$17=1,ROUNDUP(D240*Calculator!$B$8/3600/Calculator!$B$24-0.000000001,0),D240*Calculator!$B$8/3600/Calculator!$B$24))</f>
        <v/>
      </c>
      <c r="F240" s="16">
        <f>IF(A240="","",IF(Calculator!$B$16=1,Calculator!$B$27,A240)*Calculator!$B$5*Calculator!$B$15)</f>
        <v/>
      </c>
      <c r="G240" s="16">
        <f>IF(A240="","",E240*Calculator!$B$6+Calculator!$C$37+F240+Calculator!$B$30)</f>
        <v/>
      </c>
      <c r="H240" s="16">
        <f>IF(A240="","",Calculator!$B$40-G240)</f>
        <v/>
      </c>
      <c r="I240" s="17">
        <f>IF(A240="","",A240*Calculator!$B$5*Calculator!$B$8/3600)</f>
        <v/>
      </c>
      <c r="J240" s="12">
        <f>IF(A240="","",Calculator!$B$35-E240)</f>
        <v/>
      </c>
    </row>
    <row r="241">
      <c r="A241" s="15">
        <f>IF(239/1000&lt;=Calculator!$B$27+0.0000001,239/1000,"")</f>
        <v/>
      </c>
      <c r="B241" s="15">
        <f>IF(A241="","",A241/Calculator!$B$27)</f>
        <v/>
      </c>
      <c r="C241" s="15">
        <f>IF(A241="","",Calculator!$B$27-A241)</f>
        <v/>
      </c>
      <c r="D241" s="17">
        <f>IF(A241="","",(Calculator!$B$11+C241)*Calculator!$B$5)</f>
        <v/>
      </c>
      <c r="E241" s="12">
        <f>IF(A241="","",IF(Calculator!$B$17=1,ROUNDUP(D241*Calculator!$B$8/3600/Calculator!$B$24-0.000000001,0),D241*Calculator!$B$8/3600/Calculator!$B$24))</f>
        <v/>
      </c>
      <c r="F241" s="16">
        <f>IF(A241="","",IF(Calculator!$B$16=1,Calculator!$B$27,A241)*Calculator!$B$5*Calculator!$B$15)</f>
        <v/>
      </c>
      <c r="G241" s="16">
        <f>IF(A241="","",E241*Calculator!$B$6+Calculator!$C$37+F241+Calculator!$B$30)</f>
        <v/>
      </c>
      <c r="H241" s="16">
        <f>IF(A241="","",Calculator!$B$40-G241)</f>
        <v/>
      </c>
      <c r="I241" s="17">
        <f>IF(A241="","",A241*Calculator!$B$5*Calculator!$B$8/3600)</f>
        <v/>
      </c>
      <c r="J241" s="12">
        <f>IF(A241="","",Calculator!$B$35-E241)</f>
        <v/>
      </c>
    </row>
    <row r="242">
      <c r="A242" s="15">
        <f>IF(240/1000&lt;=Calculator!$B$27+0.0000001,240/1000,"")</f>
        <v/>
      </c>
      <c r="B242" s="15">
        <f>IF(A242="","",A242/Calculator!$B$27)</f>
        <v/>
      </c>
      <c r="C242" s="15">
        <f>IF(A242="","",Calculator!$B$27-A242)</f>
        <v/>
      </c>
      <c r="D242" s="17">
        <f>IF(A242="","",(Calculator!$B$11+C242)*Calculator!$B$5)</f>
        <v/>
      </c>
      <c r="E242" s="12">
        <f>IF(A242="","",IF(Calculator!$B$17=1,ROUNDUP(D242*Calculator!$B$8/3600/Calculator!$B$24-0.000000001,0),D242*Calculator!$B$8/3600/Calculator!$B$24))</f>
        <v/>
      </c>
      <c r="F242" s="16">
        <f>IF(A242="","",IF(Calculator!$B$16=1,Calculator!$B$27,A242)*Calculator!$B$5*Calculator!$B$15)</f>
        <v/>
      </c>
      <c r="G242" s="16">
        <f>IF(A242="","",E242*Calculator!$B$6+Calculator!$C$37+F242+Calculator!$B$30)</f>
        <v/>
      </c>
      <c r="H242" s="16">
        <f>IF(A242="","",Calculator!$B$40-G242)</f>
        <v/>
      </c>
      <c r="I242" s="17">
        <f>IF(A242="","",A242*Calculator!$B$5*Calculator!$B$8/3600)</f>
        <v/>
      </c>
      <c r="J242" s="12">
        <f>IF(A242="","",Calculator!$B$35-E242)</f>
        <v/>
      </c>
    </row>
    <row r="243">
      <c r="A243" s="15">
        <f>IF(241/1000&lt;=Calculator!$B$27+0.0000001,241/1000,"")</f>
        <v/>
      </c>
      <c r="B243" s="15">
        <f>IF(A243="","",A243/Calculator!$B$27)</f>
        <v/>
      </c>
      <c r="C243" s="15">
        <f>IF(A243="","",Calculator!$B$27-A243)</f>
        <v/>
      </c>
      <c r="D243" s="17">
        <f>IF(A243="","",(Calculator!$B$11+C243)*Calculator!$B$5)</f>
        <v/>
      </c>
      <c r="E243" s="12">
        <f>IF(A243="","",IF(Calculator!$B$17=1,ROUNDUP(D243*Calculator!$B$8/3600/Calculator!$B$24-0.000000001,0),D243*Calculator!$B$8/3600/Calculator!$B$24))</f>
        <v/>
      </c>
      <c r="F243" s="16">
        <f>IF(A243="","",IF(Calculator!$B$16=1,Calculator!$B$27,A243)*Calculator!$B$5*Calculator!$B$15)</f>
        <v/>
      </c>
      <c r="G243" s="16">
        <f>IF(A243="","",E243*Calculator!$B$6+Calculator!$C$37+F243+Calculator!$B$30)</f>
        <v/>
      </c>
      <c r="H243" s="16">
        <f>IF(A243="","",Calculator!$B$40-G243)</f>
        <v/>
      </c>
      <c r="I243" s="17">
        <f>IF(A243="","",A243*Calculator!$B$5*Calculator!$B$8/3600)</f>
        <v/>
      </c>
      <c r="J243" s="12">
        <f>IF(A243="","",Calculator!$B$35-E243)</f>
        <v/>
      </c>
    </row>
    <row r="244">
      <c r="A244" s="15">
        <f>IF(242/1000&lt;=Calculator!$B$27+0.0000001,242/1000,"")</f>
        <v/>
      </c>
      <c r="B244" s="15">
        <f>IF(A244="","",A244/Calculator!$B$27)</f>
        <v/>
      </c>
      <c r="C244" s="15">
        <f>IF(A244="","",Calculator!$B$27-A244)</f>
        <v/>
      </c>
      <c r="D244" s="17">
        <f>IF(A244="","",(Calculator!$B$11+C244)*Calculator!$B$5)</f>
        <v/>
      </c>
      <c r="E244" s="12">
        <f>IF(A244="","",IF(Calculator!$B$17=1,ROUNDUP(D244*Calculator!$B$8/3600/Calculator!$B$24-0.000000001,0),D244*Calculator!$B$8/3600/Calculator!$B$24))</f>
        <v/>
      </c>
      <c r="F244" s="16">
        <f>IF(A244="","",IF(Calculator!$B$16=1,Calculator!$B$27,A244)*Calculator!$B$5*Calculator!$B$15)</f>
        <v/>
      </c>
      <c r="G244" s="16">
        <f>IF(A244="","",E244*Calculator!$B$6+Calculator!$C$37+F244+Calculator!$B$30)</f>
        <v/>
      </c>
      <c r="H244" s="16">
        <f>IF(A244="","",Calculator!$B$40-G244)</f>
        <v/>
      </c>
      <c r="I244" s="17">
        <f>IF(A244="","",A244*Calculator!$B$5*Calculator!$B$8/3600)</f>
        <v/>
      </c>
      <c r="J244" s="12">
        <f>IF(A244="","",Calculator!$B$35-E244)</f>
        <v/>
      </c>
    </row>
    <row r="245">
      <c r="A245" s="15">
        <f>IF(243/1000&lt;=Calculator!$B$27+0.0000001,243/1000,"")</f>
        <v/>
      </c>
      <c r="B245" s="15">
        <f>IF(A245="","",A245/Calculator!$B$27)</f>
        <v/>
      </c>
      <c r="C245" s="15">
        <f>IF(A245="","",Calculator!$B$27-A245)</f>
        <v/>
      </c>
      <c r="D245" s="17">
        <f>IF(A245="","",(Calculator!$B$11+C245)*Calculator!$B$5)</f>
        <v/>
      </c>
      <c r="E245" s="12">
        <f>IF(A245="","",IF(Calculator!$B$17=1,ROUNDUP(D245*Calculator!$B$8/3600/Calculator!$B$24-0.000000001,0),D245*Calculator!$B$8/3600/Calculator!$B$24))</f>
        <v/>
      </c>
      <c r="F245" s="16">
        <f>IF(A245="","",IF(Calculator!$B$16=1,Calculator!$B$27,A245)*Calculator!$B$5*Calculator!$B$15)</f>
        <v/>
      </c>
      <c r="G245" s="16">
        <f>IF(A245="","",E245*Calculator!$B$6+Calculator!$C$37+F245+Calculator!$B$30)</f>
        <v/>
      </c>
      <c r="H245" s="16">
        <f>IF(A245="","",Calculator!$B$40-G245)</f>
        <v/>
      </c>
      <c r="I245" s="17">
        <f>IF(A245="","",A245*Calculator!$B$5*Calculator!$B$8/3600)</f>
        <v/>
      </c>
      <c r="J245" s="12">
        <f>IF(A245="","",Calculator!$B$35-E245)</f>
        <v/>
      </c>
    </row>
    <row r="246">
      <c r="A246" s="15">
        <f>IF(244/1000&lt;=Calculator!$B$27+0.0000001,244/1000,"")</f>
        <v/>
      </c>
      <c r="B246" s="15">
        <f>IF(A246="","",A246/Calculator!$B$27)</f>
        <v/>
      </c>
      <c r="C246" s="15">
        <f>IF(A246="","",Calculator!$B$27-A246)</f>
        <v/>
      </c>
      <c r="D246" s="17">
        <f>IF(A246="","",(Calculator!$B$11+C246)*Calculator!$B$5)</f>
        <v/>
      </c>
      <c r="E246" s="12">
        <f>IF(A246="","",IF(Calculator!$B$17=1,ROUNDUP(D246*Calculator!$B$8/3600/Calculator!$B$24-0.000000001,0),D246*Calculator!$B$8/3600/Calculator!$B$24))</f>
        <v/>
      </c>
      <c r="F246" s="16">
        <f>IF(A246="","",IF(Calculator!$B$16=1,Calculator!$B$27,A246)*Calculator!$B$5*Calculator!$B$15)</f>
        <v/>
      </c>
      <c r="G246" s="16">
        <f>IF(A246="","",E246*Calculator!$B$6+Calculator!$C$37+F246+Calculator!$B$30)</f>
        <v/>
      </c>
      <c r="H246" s="16">
        <f>IF(A246="","",Calculator!$B$40-G246)</f>
        <v/>
      </c>
      <c r="I246" s="17">
        <f>IF(A246="","",A246*Calculator!$B$5*Calculator!$B$8/3600)</f>
        <v/>
      </c>
      <c r="J246" s="12">
        <f>IF(A246="","",Calculator!$B$35-E246)</f>
        <v/>
      </c>
    </row>
    <row r="247">
      <c r="A247" s="15">
        <f>IF(245/1000&lt;=Calculator!$B$27+0.0000001,245/1000,"")</f>
        <v/>
      </c>
      <c r="B247" s="15">
        <f>IF(A247="","",A247/Calculator!$B$27)</f>
        <v/>
      </c>
      <c r="C247" s="15">
        <f>IF(A247="","",Calculator!$B$27-A247)</f>
        <v/>
      </c>
      <c r="D247" s="17">
        <f>IF(A247="","",(Calculator!$B$11+C247)*Calculator!$B$5)</f>
        <v/>
      </c>
      <c r="E247" s="12">
        <f>IF(A247="","",IF(Calculator!$B$17=1,ROUNDUP(D247*Calculator!$B$8/3600/Calculator!$B$24-0.000000001,0),D247*Calculator!$B$8/3600/Calculator!$B$24))</f>
        <v/>
      </c>
      <c r="F247" s="16">
        <f>IF(A247="","",IF(Calculator!$B$16=1,Calculator!$B$27,A247)*Calculator!$B$5*Calculator!$B$15)</f>
        <v/>
      </c>
      <c r="G247" s="16">
        <f>IF(A247="","",E247*Calculator!$B$6+Calculator!$C$37+F247+Calculator!$B$30)</f>
        <v/>
      </c>
      <c r="H247" s="16">
        <f>IF(A247="","",Calculator!$B$40-G247)</f>
        <v/>
      </c>
      <c r="I247" s="17">
        <f>IF(A247="","",A247*Calculator!$B$5*Calculator!$B$8/3600)</f>
        <v/>
      </c>
      <c r="J247" s="12">
        <f>IF(A247="","",Calculator!$B$35-E247)</f>
        <v/>
      </c>
    </row>
    <row r="248">
      <c r="A248" s="15">
        <f>IF(246/1000&lt;=Calculator!$B$27+0.0000001,246/1000,"")</f>
        <v/>
      </c>
      <c r="B248" s="15">
        <f>IF(A248="","",A248/Calculator!$B$27)</f>
        <v/>
      </c>
      <c r="C248" s="15">
        <f>IF(A248="","",Calculator!$B$27-A248)</f>
        <v/>
      </c>
      <c r="D248" s="17">
        <f>IF(A248="","",(Calculator!$B$11+C248)*Calculator!$B$5)</f>
        <v/>
      </c>
      <c r="E248" s="12">
        <f>IF(A248="","",IF(Calculator!$B$17=1,ROUNDUP(D248*Calculator!$B$8/3600/Calculator!$B$24-0.000000001,0),D248*Calculator!$B$8/3600/Calculator!$B$24))</f>
        <v/>
      </c>
      <c r="F248" s="16">
        <f>IF(A248="","",IF(Calculator!$B$16=1,Calculator!$B$27,A248)*Calculator!$B$5*Calculator!$B$15)</f>
        <v/>
      </c>
      <c r="G248" s="16">
        <f>IF(A248="","",E248*Calculator!$B$6+Calculator!$C$37+F248+Calculator!$B$30)</f>
        <v/>
      </c>
      <c r="H248" s="16">
        <f>IF(A248="","",Calculator!$B$40-G248)</f>
        <v/>
      </c>
      <c r="I248" s="17">
        <f>IF(A248="","",A248*Calculator!$B$5*Calculator!$B$8/3600)</f>
        <v/>
      </c>
      <c r="J248" s="12">
        <f>IF(A248="","",Calculator!$B$35-E248)</f>
        <v/>
      </c>
    </row>
    <row r="249">
      <c r="A249" s="15">
        <f>IF(247/1000&lt;=Calculator!$B$27+0.0000001,247/1000,"")</f>
        <v/>
      </c>
      <c r="B249" s="15">
        <f>IF(A249="","",A249/Calculator!$B$27)</f>
        <v/>
      </c>
      <c r="C249" s="15">
        <f>IF(A249="","",Calculator!$B$27-A249)</f>
        <v/>
      </c>
      <c r="D249" s="17">
        <f>IF(A249="","",(Calculator!$B$11+C249)*Calculator!$B$5)</f>
        <v/>
      </c>
      <c r="E249" s="12">
        <f>IF(A249="","",IF(Calculator!$B$17=1,ROUNDUP(D249*Calculator!$B$8/3600/Calculator!$B$24-0.000000001,0),D249*Calculator!$B$8/3600/Calculator!$B$24))</f>
        <v/>
      </c>
      <c r="F249" s="16">
        <f>IF(A249="","",IF(Calculator!$B$16=1,Calculator!$B$27,A249)*Calculator!$B$5*Calculator!$B$15)</f>
        <v/>
      </c>
      <c r="G249" s="16">
        <f>IF(A249="","",E249*Calculator!$B$6+Calculator!$C$37+F249+Calculator!$B$30)</f>
        <v/>
      </c>
      <c r="H249" s="16">
        <f>IF(A249="","",Calculator!$B$40-G249)</f>
        <v/>
      </c>
      <c r="I249" s="17">
        <f>IF(A249="","",A249*Calculator!$B$5*Calculator!$B$8/3600)</f>
        <v/>
      </c>
      <c r="J249" s="12">
        <f>IF(A249="","",Calculator!$B$35-E249)</f>
        <v/>
      </c>
    </row>
    <row r="250">
      <c r="A250" s="15">
        <f>IF(248/1000&lt;=Calculator!$B$27+0.0000001,248/1000,"")</f>
        <v/>
      </c>
      <c r="B250" s="15">
        <f>IF(A250="","",A250/Calculator!$B$27)</f>
        <v/>
      </c>
      <c r="C250" s="15">
        <f>IF(A250="","",Calculator!$B$27-A250)</f>
        <v/>
      </c>
      <c r="D250" s="17">
        <f>IF(A250="","",(Calculator!$B$11+C250)*Calculator!$B$5)</f>
        <v/>
      </c>
      <c r="E250" s="12">
        <f>IF(A250="","",IF(Calculator!$B$17=1,ROUNDUP(D250*Calculator!$B$8/3600/Calculator!$B$24-0.000000001,0),D250*Calculator!$B$8/3600/Calculator!$B$24))</f>
        <v/>
      </c>
      <c r="F250" s="16">
        <f>IF(A250="","",IF(Calculator!$B$16=1,Calculator!$B$27,A250)*Calculator!$B$5*Calculator!$B$15)</f>
        <v/>
      </c>
      <c r="G250" s="16">
        <f>IF(A250="","",E250*Calculator!$B$6+Calculator!$C$37+F250+Calculator!$B$30)</f>
        <v/>
      </c>
      <c r="H250" s="16">
        <f>IF(A250="","",Calculator!$B$40-G250)</f>
        <v/>
      </c>
      <c r="I250" s="17">
        <f>IF(A250="","",A250*Calculator!$B$5*Calculator!$B$8/3600)</f>
        <v/>
      </c>
      <c r="J250" s="12">
        <f>IF(A250="","",Calculator!$B$35-E250)</f>
        <v/>
      </c>
    </row>
    <row r="251">
      <c r="A251" s="15">
        <f>IF(249/1000&lt;=Calculator!$B$27+0.0000001,249/1000,"")</f>
        <v/>
      </c>
      <c r="B251" s="15">
        <f>IF(A251="","",A251/Calculator!$B$27)</f>
        <v/>
      </c>
      <c r="C251" s="15">
        <f>IF(A251="","",Calculator!$B$27-A251)</f>
        <v/>
      </c>
      <c r="D251" s="17">
        <f>IF(A251="","",(Calculator!$B$11+C251)*Calculator!$B$5)</f>
        <v/>
      </c>
      <c r="E251" s="12">
        <f>IF(A251="","",IF(Calculator!$B$17=1,ROUNDUP(D251*Calculator!$B$8/3600/Calculator!$B$24-0.000000001,0),D251*Calculator!$B$8/3600/Calculator!$B$24))</f>
        <v/>
      </c>
      <c r="F251" s="16">
        <f>IF(A251="","",IF(Calculator!$B$16=1,Calculator!$B$27,A251)*Calculator!$B$5*Calculator!$B$15)</f>
        <v/>
      </c>
      <c r="G251" s="16">
        <f>IF(A251="","",E251*Calculator!$B$6+Calculator!$C$37+F251+Calculator!$B$30)</f>
        <v/>
      </c>
      <c r="H251" s="16">
        <f>IF(A251="","",Calculator!$B$40-G251)</f>
        <v/>
      </c>
      <c r="I251" s="17">
        <f>IF(A251="","",A251*Calculator!$B$5*Calculator!$B$8/3600)</f>
        <v/>
      </c>
      <c r="J251" s="12">
        <f>IF(A251="","",Calculator!$B$35-E251)</f>
        <v/>
      </c>
    </row>
    <row r="252">
      <c r="A252" s="15">
        <f>IF(250/1000&lt;=Calculator!$B$27+0.0000001,250/1000,"")</f>
        <v/>
      </c>
      <c r="B252" s="15">
        <f>IF(A252="","",A252/Calculator!$B$27)</f>
        <v/>
      </c>
      <c r="C252" s="15">
        <f>IF(A252="","",Calculator!$B$27-A252)</f>
        <v/>
      </c>
      <c r="D252" s="17">
        <f>IF(A252="","",(Calculator!$B$11+C252)*Calculator!$B$5)</f>
        <v/>
      </c>
      <c r="E252" s="12">
        <f>IF(A252="","",IF(Calculator!$B$17=1,ROUNDUP(D252*Calculator!$B$8/3600/Calculator!$B$24-0.000000001,0),D252*Calculator!$B$8/3600/Calculator!$B$24))</f>
        <v/>
      </c>
      <c r="F252" s="16">
        <f>IF(A252="","",IF(Calculator!$B$16=1,Calculator!$B$27,A252)*Calculator!$B$5*Calculator!$B$15)</f>
        <v/>
      </c>
      <c r="G252" s="16">
        <f>IF(A252="","",E252*Calculator!$B$6+Calculator!$C$37+F252+Calculator!$B$30)</f>
        <v/>
      </c>
      <c r="H252" s="16">
        <f>IF(A252="","",Calculator!$B$40-G252)</f>
        <v/>
      </c>
      <c r="I252" s="17">
        <f>IF(A252="","",A252*Calculator!$B$5*Calculator!$B$8/3600)</f>
        <v/>
      </c>
      <c r="J252" s="12">
        <f>IF(A252="","",Calculator!$B$35-E252)</f>
        <v/>
      </c>
    </row>
    <row r="253">
      <c r="A253" s="15">
        <f>IF(251/1000&lt;=Calculator!$B$27+0.0000001,251/1000,"")</f>
        <v/>
      </c>
      <c r="B253" s="15">
        <f>IF(A253="","",A253/Calculator!$B$27)</f>
        <v/>
      </c>
      <c r="C253" s="15">
        <f>IF(A253="","",Calculator!$B$27-A253)</f>
        <v/>
      </c>
      <c r="D253" s="17">
        <f>IF(A253="","",(Calculator!$B$11+C253)*Calculator!$B$5)</f>
        <v/>
      </c>
      <c r="E253" s="12">
        <f>IF(A253="","",IF(Calculator!$B$17=1,ROUNDUP(D253*Calculator!$B$8/3600/Calculator!$B$24-0.000000001,0),D253*Calculator!$B$8/3600/Calculator!$B$24))</f>
        <v/>
      </c>
      <c r="F253" s="16">
        <f>IF(A253="","",IF(Calculator!$B$16=1,Calculator!$B$27,A253)*Calculator!$B$5*Calculator!$B$15)</f>
        <v/>
      </c>
      <c r="G253" s="16">
        <f>IF(A253="","",E253*Calculator!$B$6+Calculator!$C$37+F253+Calculator!$B$30)</f>
        <v/>
      </c>
      <c r="H253" s="16">
        <f>IF(A253="","",Calculator!$B$40-G253)</f>
        <v/>
      </c>
      <c r="I253" s="17">
        <f>IF(A253="","",A253*Calculator!$B$5*Calculator!$B$8/3600)</f>
        <v/>
      </c>
      <c r="J253" s="12">
        <f>IF(A253="","",Calculator!$B$35-E253)</f>
        <v/>
      </c>
    </row>
    <row r="254">
      <c r="A254" s="15">
        <f>IF(252/1000&lt;=Calculator!$B$27+0.0000001,252/1000,"")</f>
        <v/>
      </c>
      <c r="B254" s="15">
        <f>IF(A254="","",A254/Calculator!$B$27)</f>
        <v/>
      </c>
      <c r="C254" s="15">
        <f>IF(A254="","",Calculator!$B$27-A254)</f>
        <v/>
      </c>
      <c r="D254" s="17">
        <f>IF(A254="","",(Calculator!$B$11+C254)*Calculator!$B$5)</f>
        <v/>
      </c>
      <c r="E254" s="12">
        <f>IF(A254="","",IF(Calculator!$B$17=1,ROUNDUP(D254*Calculator!$B$8/3600/Calculator!$B$24-0.000000001,0),D254*Calculator!$B$8/3600/Calculator!$B$24))</f>
        <v/>
      </c>
      <c r="F254" s="16">
        <f>IF(A254="","",IF(Calculator!$B$16=1,Calculator!$B$27,A254)*Calculator!$B$5*Calculator!$B$15)</f>
        <v/>
      </c>
      <c r="G254" s="16">
        <f>IF(A254="","",E254*Calculator!$B$6+Calculator!$C$37+F254+Calculator!$B$30)</f>
        <v/>
      </c>
      <c r="H254" s="16">
        <f>IF(A254="","",Calculator!$B$40-G254)</f>
        <v/>
      </c>
      <c r="I254" s="17">
        <f>IF(A254="","",A254*Calculator!$B$5*Calculator!$B$8/3600)</f>
        <v/>
      </c>
      <c r="J254" s="12">
        <f>IF(A254="","",Calculator!$B$35-E254)</f>
        <v/>
      </c>
    </row>
    <row r="255">
      <c r="A255" s="15">
        <f>IF(253/1000&lt;=Calculator!$B$27+0.0000001,253/1000,"")</f>
        <v/>
      </c>
      <c r="B255" s="15">
        <f>IF(A255="","",A255/Calculator!$B$27)</f>
        <v/>
      </c>
      <c r="C255" s="15">
        <f>IF(A255="","",Calculator!$B$27-A255)</f>
        <v/>
      </c>
      <c r="D255" s="17">
        <f>IF(A255="","",(Calculator!$B$11+C255)*Calculator!$B$5)</f>
        <v/>
      </c>
      <c r="E255" s="12">
        <f>IF(A255="","",IF(Calculator!$B$17=1,ROUNDUP(D255*Calculator!$B$8/3600/Calculator!$B$24-0.000000001,0),D255*Calculator!$B$8/3600/Calculator!$B$24))</f>
        <v/>
      </c>
      <c r="F255" s="16">
        <f>IF(A255="","",IF(Calculator!$B$16=1,Calculator!$B$27,A255)*Calculator!$B$5*Calculator!$B$15)</f>
        <v/>
      </c>
      <c r="G255" s="16">
        <f>IF(A255="","",E255*Calculator!$B$6+Calculator!$C$37+F255+Calculator!$B$30)</f>
        <v/>
      </c>
      <c r="H255" s="16">
        <f>IF(A255="","",Calculator!$B$40-G255)</f>
        <v/>
      </c>
      <c r="I255" s="17">
        <f>IF(A255="","",A255*Calculator!$B$5*Calculator!$B$8/3600)</f>
        <v/>
      </c>
      <c r="J255" s="12">
        <f>IF(A255="","",Calculator!$B$35-E255)</f>
        <v/>
      </c>
    </row>
    <row r="256">
      <c r="A256" s="15">
        <f>IF(254/1000&lt;=Calculator!$B$27+0.0000001,254/1000,"")</f>
        <v/>
      </c>
      <c r="B256" s="15">
        <f>IF(A256="","",A256/Calculator!$B$27)</f>
        <v/>
      </c>
      <c r="C256" s="15">
        <f>IF(A256="","",Calculator!$B$27-A256)</f>
        <v/>
      </c>
      <c r="D256" s="17">
        <f>IF(A256="","",(Calculator!$B$11+C256)*Calculator!$B$5)</f>
        <v/>
      </c>
      <c r="E256" s="12">
        <f>IF(A256="","",IF(Calculator!$B$17=1,ROUNDUP(D256*Calculator!$B$8/3600/Calculator!$B$24-0.000000001,0),D256*Calculator!$B$8/3600/Calculator!$B$24))</f>
        <v/>
      </c>
      <c r="F256" s="16">
        <f>IF(A256="","",IF(Calculator!$B$16=1,Calculator!$B$27,A256)*Calculator!$B$5*Calculator!$B$15)</f>
        <v/>
      </c>
      <c r="G256" s="16">
        <f>IF(A256="","",E256*Calculator!$B$6+Calculator!$C$37+F256+Calculator!$B$30)</f>
        <v/>
      </c>
      <c r="H256" s="16">
        <f>IF(A256="","",Calculator!$B$40-G256)</f>
        <v/>
      </c>
      <c r="I256" s="17">
        <f>IF(A256="","",A256*Calculator!$B$5*Calculator!$B$8/3600)</f>
        <v/>
      </c>
      <c r="J256" s="12">
        <f>IF(A256="","",Calculator!$B$35-E256)</f>
        <v/>
      </c>
    </row>
    <row r="257">
      <c r="A257" s="15">
        <f>IF(255/1000&lt;=Calculator!$B$27+0.0000001,255/1000,"")</f>
        <v/>
      </c>
      <c r="B257" s="15">
        <f>IF(A257="","",A257/Calculator!$B$27)</f>
        <v/>
      </c>
      <c r="C257" s="15">
        <f>IF(A257="","",Calculator!$B$27-A257)</f>
        <v/>
      </c>
      <c r="D257" s="17">
        <f>IF(A257="","",(Calculator!$B$11+C257)*Calculator!$B$5)</f>
        <v/>
      </c>
      <c r="E257" s="12">
        <f>IF(A257="","",IF(Calculator!$B$17=1,ROUNDUP(D257*Calculator!$B$8/3600/Calculator!$B$24-0.000000001,0),D257*Calculator!$B$8/3600/Calculator!$B$24))</f>
        <v/>
      </c>
      <c r="F257" s="16">
        <f>IF(A257="","",IF(Calculator!$B$16=1,Calculator!$B$27,A257)*Calculator!$B$5*Calculator!$B$15)</f>
        <v/>
      </c>
      <c r="G257" s="16">
        <f>IF(A257="","",E257*Calculator!$B$6+Calculator!$C$37+F257+Calculator!$B$30)</f>
        <v/>
      </c>
      <c r="H257" s="16">
        <f>IF(A257="","",Calculator!$B$40-G257)</f>
        <v/>
      </c>
      <c r="I257" s="17">
        <f>IF(A257="","",A257*Calculator!$B$5*Calculator!$B$8/3600)</f>
        <v/>
      </c>
      <c r="J257" s="12">
        <f>IF(A257="","",Calculator!$B$35-E257)</f>
        <v/>
      </c>
    </row>
    <row r="258">
      <c r="A258" s="15">
        <f>IF(256/1000&lt;=Calculator!$B$27+0.0000001,256/1000,"")</f>
        <v/>
      </c>
      <c r="B258" s="15">
        <f>IF(A258="","",A258/Calculator!$B$27)</f>
        <v/>
      </c>
      <c r="C258" s="15">
        <f>IF(A258="","",Calculator!$B$27-A258)</f>
        <v/>
      </c>
      <c r="D258" s="17">
        <f>IF(A258="","",(Calculator!$B$11+C258)*Calculator!$B$5)</f>
        <v/>
      </c>
      <c r="E258" s="12">
        <f>IF(A258="","",IF(Calculator!$B$17=1,ROUNDUP(D258*Calculator!$B$8/3600/Calculator!$B$24-0.000000001,0),D258*Calculator!$B$8/3600/Calculator!$B$24))</f>
        <v/>
      </c>
      <c r="F258" s="16">
        <f>IF(A258="","",IF(Calculator!$B$16=1,Calculator!$B$27,A258)*Calculator!$B$5*Calculator!$B$15)</f>
        <v/>
      </c>
      <c r="G258" s="16">
        <f>IF(A258="","",E258*Calculator!$B$6+Calculator!$C$37+F258+Calculator!$B$30)</f>
        <v/>
      </c>
      <c r="H258" s="16">
        <f>IF(A258="","",Calculator!$B$40-G258)</f>
        <v/>
      </c>
      <c r="I258" s="17">
        <f>IF(A258="","",A258*Calculator!$B$5*Calculator!$B$8/3600)</f>
        <v/>
      </c>
      <c r="J258" s="12">
        <f>IF(A258="","",Calculator!$B$35-E258)</f>
        <v/>
      </c>
    </row>
    <row r="259">
      <c r="A259" s="15">
        <f>IF(257/1000&lt;=Calculator!$B$27+0.0000001,257/1000,"")</f>
        <v/>
      </c>
      <c r="B259" s="15">
        <f>IF(A259="","",A259/Calculator!$B$27)</f>
        <v/>
      </c>
      <c r="C259" s="15">
        <f>IF(A259="","",Calculator!$B$27-A259)</f>
        <v/>
      </c>
      <c r="D259" s="17">
        <f>IF(A259="","",(Calculator!$B$11+C259)*Calculator!$B$5)</f>
        <v/>
      </c>
      <c r="E259" s="12">
        <f>IF(A259="","",IF(Calculator!$B$17=1,ROUNDUP(D259*Calculator!$B$8/3600/Calculator!$B$24-0.000000001,0),D259*Calculator!$B$8/3600/Calculator!$B$24))</f>
        <v/>
      </c>
      <c r="F259" s="16">
        <f>IF(A259="","",IF(Calculator!$B$16=1,Calculator!$B$27,A259)*Calculator!$B$5*Calculator!$B$15)</f>
        <v/>
      </c>
      <c r="G259" s="16">
        <f>IF(A259="","",E259*Calculator!$B$6+Calculator!$C$37+F259+Calculator!$B$30)</f>
        <v/>
      </c>
      <c r="H259" s="16">
        <f>IF(A259="","",Calculator!$B$40-G259)</f>
        <v/>
      </c>
      <c r="I259" s="17">
        <f>IF(A259="","",A259*Calculator!$B$5*Calculator!$B$8/3600)</f>
        <v/>
      </c>
      <c r="J259" s="12">
        <f>IF(A259="","",Calculator!$B$35-E259)</f>
        <v/>
      </c>
    </row>
    <row r="260">
      <c r="A260" s="15">
        <f>IF(258/1000&lt;=Calculator!$B$27+0.0000001,258/1000,"")</f>
        <v/>
      </c>
      <c r="B260" s="15">
        <f>IF(A260="","",A260/Calculator!$B$27)</f>
        <v/>
      </c>
      <c r="C260" s="15">
        <f>IF(A260="","",Calculator!$B$27-A260)</f>
        <v/>
      </c>
      <c r="D260" s="17">
        <f>IF(A260="","",(Calculator!$B$11+C260)*Calculator!$B$5)</f>
        <v/>
      </c>
      <c r="E260" s="12">
        <f>IF(A260="","",IF(Calculator!$B$17=1,ROUNDUP(D260*Calculator!$B$8/3600/Calculator!$B$24-0.000000001,0),D260*Calculator!$B$8/3600/Calculator!$B$24))</f>
        <v/>
      </c>
      <c r="F260" s="16">
        <f>IF(A260="","",IF(Calculator!$B$16=1,Calculator!$B$27,A260)*Calculator!$B$5*Calculator!$B$15)</f>
        <v/>
      </c>
      <c r="G260" s="16">
        <f>IF(A260="","",E260*Calculator!$B$6+Calculator!$C$37+F260+Calculator!$B$30)</f>
        <v/>
      </c>
      <c r="H260" s="16">
        <f>IF(A260="","",Calculator!$B$40-G260)</f>
        <v/>
      </c>
      <c r="I260" s="17">
        <f>IF(A260="","",A260*Calculator!$B$5*Calculator!$B$8/3600)</f>
        <v/>
      </c>
      <c r="J260" s="12">
        <f>IF(A260="","",Calculator!$B$35-E260)</f>
        <v/>
      </c>
    </row>
    <row r="261">
      <c r="A261" s="15">
        <f>IF(259/1000&lt;=Calculator!$B$27+0.0000001,259/1000,"")</f>
        <v/>
      </c>
      <c r="B261" s="15">
        <f>IF(A261="","",A261/Calculator!$B$27)</f>
        <v/>
      </c>
      <c r="C261" s="15">
        <f>IF(A261="","",Calculator!$B$27-A261)</f>
        <v/>
      </c>
      <c r="D261" s="17">
        <f>IF(A261="","",(Calculator!$B$11+C261)*Calculator!$B$5)</f>
        <v/>
      </c>
      <c r="E261" s="12">
        <f>IF(A261="","",IF(Calculator!$B$17=1,ROUNDUP(D261*Calculator!$B$8/3600/Calculator!$B$24-0.000000001,0),D261*Calculator!$B$8/3600/Calculator!$B$24))</f>
        <v/>
      </c>
      <c r="F261" s="16">
        <f>IF(A261="","",IF(Calculator!$B$16=1,Calculator!$B$27,A261)*Calculator!$B$5*Calculator!$B$15)</f>
        <v/>
      </c>
      <c r="G261" s="16">
        <f>IF(A261="","",E261*Calculator!$B$6+Calculator!$C$37+F261+Calculator!$B$30)</f>
        <v/>
      </c>
      <c r="H261" s="16">
        <f>IF(A261="","",Calculator!$B$40-G261)</f>
        <v/>
      </c>
      <c r="I261" s="17">
        <f>IF(A261="","",A261*Calculator!$B$5*Calculator!$B$8/3600)</f>
        <v/>
      </c>
      <c r="J261" s="12">
        <f>IF(A261="","",Calculator!$B$35-E261)</f>
        <v/>
      </c>
    </row>
    <row r="262">
      <c r="A262" s="15">
        <f>IF(260/1000&lt;=Calculator!$B$27+0.0000001,260/1000,"")</f>
        <v/>
      </c>
      <c r="B262" s="15">
        <f>IF(A262="","",A262/Calculator!$B$27)</f>
        <v/>
      </c>
      <c r="C262" s="15">
        <f>IF(A262="","",Calculator!$B$27-A262)</f>
        <v/>
      </c>
      <c r="D262" s="17">
        <f>IF(A262="","",(Calculator!$B$11+C262)*Calculator!$B$5)</f>
        <v/>
      </c>
      <c r="E262" s="12">
        <f>IF(A262="","",IF(Calculator!$B$17=1,ROUNDUP(D262*Calculator!$B$8/3600/Calculator!$B$24-0.000000001,0),D262*Calculator!$B$8/3600/Calculator!$B$24))</f>
        <v/>
      </c>
      <c r="F262" s="16">
        <f>IF(A262="","",IF(Calculator!$B$16=1,Calculator!$B$27,A262)*Calculator!$B$5*Calculator!$B$15)</f>
        <v/>
      </c>
      <c r="G262" s="16">
        <f>IF(A262="","",E262*Calculator!$B$6+Calculator!$C$37+F262+Calculator!$B$30)</f>
        <v/>
      </c>
      <c r="H262" s="16">
        <f>IF(A262="","",Calculator!$B$40-G262)</f>
        <v/>
      </c>
      <c r="I262" s="17">
        <f>IF(A262="","",A262*Calculator!$B$5*Calculator!$B$8/3600)</f>
        <v/>
      </c>
      <c r="J262" s="12">
        <f>IF(A262="","",Calculator!$B$35-E262)</f>
        <v/>
      </c>
    </row>
    <row r="263">
      <c r="A263" s="15">
        <f>IF(261/1000&lt;=Calculator!$B$27+0.0000001,261/1000,"")</f>
        <v/>
      </c>
      <c r="B263" s="15">
        <f>IF(A263="","",A263/Calculator!$B$27)</f>
        <v/>
      </c>
      <c r="C263" s="15">
        <f>IF(A263="","",Calculator!$B$27-A263)</f>
        <v/>
      </c>
      <c r="D263" s="17">
        <f>IF(A263="","",(Calculator!$B$11+C263)*Calculator!$B$5)</f>
        <v/>
      </c>
      <c r="E263" s="12">
        <f>IF(A263="","",IF(Calculator!$B$17=1,ROUNDUP(D263*Calculator!$B$8/3600/Calculator!$B$24-0.000000001,0),D263*Calculator!$B$8/3600/Calculator!$B$24))</f>
        <v/>
      </c>
      <c r="F263" s="16">
        <f>IF(A263="","",IF(Calculator!$B$16=1,Calculator!$B$27,A263)*Calculator!$B$5*Calculator!$B$15)</f>
        <v/>
      </c>
      <c r="G263" s="16">
        <f>IF(A263="","",E263*Calculator!$B$6+Calculator!$C$37+F263+Calculator!$B$30)</f>
        <v/>
      </c>
      <c r="H263" s="16">
        <f>IF(A263="","",Calculator!$B$40-G263)</f>
        <v/>
      </c>
      <c r="I263" s="17">
        <f>IF(A263="","",A263*Calculator!$B$5*Calculator!$B$8/3600)</f>
        <v/>
      </c>
      <c r="J263" s="12">
        <f>IF(A263="","",Calculator!$B$35-E263)</f>
        <v/>
      </c>
    </row>
    <row r="264">
      <c r="A264" s="15">
        <f>IF(262/1000&lt;=Calculator!$B$27+0.0000001,262/1000,"")</f>
        <v/>
      </c>
      <c r="B264" s="15">
        <f>IF(A264="","",A264/Calculator!$B$27)</f>
        <v/>
      </c>
      <c r="C264" s="15">
        <f>IF(A264="","",Calculator!$B$27-A264)</f>
        <v/>
      </c>
      <c r="D264" s="17">
        <f>IF(A264="","",(Calculator!$B$11+C264)*Calculator!$B$5)</f>
        <v/>
      </c>
      <c r="E264" s="12">
        <f>IF(A264="","",IF(Calculator!$B$17=1,ROUNDUP(D264*Calculator!$B$8/3600/Calculator!$B$24-0.000000001,0),D264*Calculator!$B$8/3600/Calculator!$B$24))</f>
        <v/>
      </c>
      <c r="F264" s="16">
        <f>IF(A264="","",IF(Calculator!$B$16=1,Calculator!$B$27,A264)*Calculator!$B$5*Calculator!$B$15)</f>
        <v/>
      </c>
      <c r="G264" s="16">
        <f>IF(A264="","",E264*Calculator!$B$6+Calculator!$C$37+F264+Calculator!$B$30)</f>
        <v/>
      </c>
      <c r="H264" s="16">
        <f>IF(A264="","",Calculator!$B$40-G264)</f>
        <v/>
      </c>
      <c r="I264" s="17">
        <f>IF(A264="","",A264*Calculator!$B$5*Calculator!$B$8/3600)</f>
        <v/>
      </c>
      <c r="J264" s="12">
        <f>IF(A264="","",Calculator!$B$35-E264)</f>
        <v/>
      </c>
    </row>
    <row r="265">
      <c r="A265" s="15">
        <f>IF(263/1000&lt;=Calculator!$B$27+0.0000001,263/1000,"")</f>
        <v/>
      </c>
      <c r="B265" s="15">
        <f>IF(A265="","",A265/Calculator!$B$27)</f>
        <v/>
      </c>
      <c r="C265" s="15">
        <f>IF(A265="","",Calculator!$B$27-A265)</f>
        <v/>
      </c>
      <c r="D265" s="17">
        <f>IF(A265="","",(Calculator!$B$11+C265)*Calculator!$B$5)</f>
        <v/>
      </c>
      <c r="E265" s="12">
        <f>IF(A265="","",IF(Calculator!$B$17=1,ROUNDUP(D265*Calculator!$B$8/3600/Calculator!$B$24-0.000000001,0),D265*Calculator!$B$8/3600/Calculator!$B$24))</f>
        <v/>
      </c>
      <c r="F265" s="16">
        <f>IF(A265="","",IF(Calculator!$B$16=1,Calculator!$B$27,A265)*Calculator!$B$5*Calculator!$B$15)</f>
        <v/>
      </c>
      <c r="G265" s="16">
        <f>IF(A265="","",E265*Calculator!$B$6+Calculator!$C$37+F265+Calculator!$B$30)</f>
        <v/>
      </c>
      <c r="H265" s="16">
        <f>IF(A265="","",Calculator!$B$40-G265)</f>
        <v/>
      </c>
      <c r="I265" s="17">
        <f>IF(A265="","",A265*Calculator!$B$5*Calculator!$B$8/3600)</f>
        <v/>
      </c>
      <c r="J265" s="12">
        <f>IF(A265="","",Calculator!$B$35-E265)</f>
        <v/>
      </c>
    </row>
    <row r="266">
      <c r="A266" s="15">
        <f>IF(264/1000&lt;=Calculator!$B$27+0.0000001,264/1000,"")</f>
        <v/>
      </c>
      <c r="B266" s="15">
        <f>IF(A266="","",A266/Calculator!$B$27)</f>
        <v/>
      </c>
      <c r="C266" s="15">
        <f>IF(A266="","",Calculator!$B$27-A266)</f>
        <v/>
      </c>
      <c r="D266" s="17">
        <f>IF(A266="","",(Calculator!$B$11+C266)*Calculator!$B$5)</f>
        <v/>
      </c>
      <c r="E266" s="12">
        <f>IF(A266="","",IF(Calculator!$B$17=1,ROUNDUP(D266*Calculator!$B$8/3600/Calculator!$B$24-0.000000001,0),D266*Calculator!$B$8/3600/Calculator!$B$24))</f>
        <v/>
      </c>
      <c r="F266" s="16">
        <f>IF(A266="","",IF(Calculator!$B$16=1,Calculator!$B$27,A266)*Calculator!$B$5*Calculator!$B$15)</f>
        <v/>
      </c>
      <c r="G266" s="16">
        <f>IF(A266="","",E266*Calculator!$B$6+Calculator!$C$37+F266+Calculator!$B$30)</f>
        <v/>
      </c>
      <c r="H266" s="16">
        <f>IF(A266="","",Calculator!$B$40-G266)</f>
        <v/>
      </c>
      <c r="I266" s="17">
        <f>IF(A266="","",A266*Calculator!$B$5*Calculator!$B$8/3600)</f>
        <v/>
      </c>
      <c r="J266" s="12">
        <f>IF(A266="","",Calculator!$B$35-E266)</f>
        <v/>
      </c>
    </row>
    <row r="267">
      <c r="A267" s="15">
        <f>IF(265/1000&lt;=Calculator!$B$27+0.0000001,265/1000,"")</f>
        <v/>
      </c>
      <c r="B267" s="15">
        <f>IF(A267="","",A267/Calculator!$B$27)</f>
        <v/>
      </c>
      <c r="C267" s="15">
        <f>IF(A267="","",Calculator!$B$27-A267)</f>
        <v/>
      </c>
      <c r="D267" s="17">
        <f>IF(A267="","",(Calculator!$B$11+C267)*Calculator!$B$5)</f>
        <v/>
      </c>
      <c r="E267" s="12">
        <f>IF(A267="","",IF(Calculator!$B$17=1,ROUNDUP(D267*Calculator!$B$8/3600/Calculator!$B$24-0.000000001,0),D267*Calculator!$B$8/3600/Calculator!$B$24))</f>
        <v/>
      </c>
      <c r="F267" s="16">
        <f>IF(A267="","",IF(Calculator!$B$16=1,Calculator!$B$27,A267)*Calculator!$B$5*Calculator!$B$15)</f>
        <v/>
      </c>
      <c r="G267" s="16">
        <f>IF(A267="","",E267*Calculator!$B$6+Calculator!$C$37+F267+Calculator!$B$30)</f>
        <v/>
      </c>
      <c r="H267" s="16">
        <f>IF(A267="","",Calculator!$B$40-G267)</f>
        <v/>
      </c>
      <c r="I267" s="17">
        <f>IF(A267="","",A267*Calculator!$B$5*Calculator!$B$8/3600)</f>
        <v/>
      </c>
      <c r="J267" s="12">
        <f>IF(A267="","",Calculator!$B$35-E267)</f>
        <v/>
      </c>
    </row>
    <row r="268">
      <c r="A268" s="15">
        <f>IF(266/1000&lt;=Calculator!$B$27+0.0000001,266/1000,"")</f>
        <v/>
      </c>
      <c r="B268" s="15">
        <f>IF(A268="","",A268/Calculator!$B$27)</f>
        <v/>
      </c>
      <c r="C268" s="15">
        <f>IF(A268="","",Calculator!$B$27-A268)</f>
        <v/>
      </c>
      <c r="D268" s="17">
        <f>IF(A268="","",(Calculator!$B$11+C268)*Calculator!$B$5)</f>
        <v/>
      </c>
      <c r="E268" s="12">
        <f>IF(A268="","",IF(Calculator!$B$17=1,ROUNDUP(D268*Calculator!$B$8/3600/Calculator!$B$24-0.000000001,0),D268*Calculator!$B$8/3600/Calculator!$B$24))</f>
        <v/>
      </c>
      <c r="F268" s="16">
        <f>IF(A268="","",IF(Calculator!$B$16=1,Calculator!$B$27,A268)*Calculator!$B$5*Calculator!$B$15)</f>
        <v/>
      </c>
      <c r="G268" s="16">
        <f>IF(A268="","",E268*Calculator!$B$6+Calculator!$C$37+F268+Calculator!$B$30)</f>
        <v/>
      </c>
      <c r="H268" s="16">
        <f>IF(A268="","",Calculator!$B$40-G268)</f>
        <v/>
      </c>
      <c r="I268" s="17">
        <f>IF(A268="","",A268*Calculator!$B$5*Calculator!$B$8/3600)</f>
        <v/>
      </c>
      <c r="J268" s="12">
        <f>IF(A268="","",Calculator!$B$35-E268)</f>
        <v/>
      </c>
    </row>
    <row r="269">
      <c r="A269" s="15">
        <f>IF(267/1000&lt;=Calculator!$B$27+0.0000001,267/1000,"")</f>
        <v/>
      </c>
      <c r="B269" s="15">
        <f>IF(A269="","",A269/Calculator!$B$27)</f>
        <v/>
      </c>
      <c r="C269" s="15">
        <f>IF(A269="","",Calculator!$B$27-A269)</f>
        <v/>
      </c>
      <c r="D269" s="17">
        <f>IF(A269="","",(Calculator!$B$11+C269)*Calculator!$B$5)</f>
        <v/>
      </c>
      <c r="E269" s="12">
        <f>IF(A269="","",IF(Calculator!$B$17=1,ROUNDUP(D269*Calculator!$B$8/3600/Calculator!$B$24-0.000000001,0),D269*Calculator!$B$8/3600/Calculator!$B$24))</f>
        <v/>
      </c>
      <c r="F269" s="16">
        <f>IF(A269="","",IF(Calculator!$B$16=1,Calculator!$B$27,A269)*Calculator!$B$5*Calculator!$B$15)</f>
        <v/>
      </c>
      <c r="G269" s="16">
        <f>IF(A269="","",E269*Calculator!$B$6+Calculator!$C$37+F269+Calculator!$B$30)</f>
        <v/>
      </c>
      <c r="H269" s="16">
        <f>IF(A269="","",Calculator!$B$40-G269)</f>
        <v/>
      </c>
      <c r="I269" s="17">
        <f>IF(A269="","",A269*Calculator!$B$5*Calculator!$B$8/3600)</f>
        <v/>
      </c>
      <c r="J269" s="12">
        <f>IF(A269="","",Calculator!$B$35-E269)</f>
        <v/>
      </c>
    </row>
    <row r="270">
      <c r="A270" s="15">
        <f>IF(268/1000&lt;=Calculator!$B$27+0.0000001,268/1000,"")</f>
        <v/>
      </c>
      <c r="B270" s="15">
        <f>IF(A270="","",A270/Calculator!$B$27)</f>
        <v/>
      </c>
      <c r="C270" s="15">
        <f>IF(A270="","",Calculator!$B$27-A270)</f>
        <v/>
      </c>
      <c r="D270" s="17">
        <f>IF(A270="","",(Calculator!$B$11+C270)*Calculator!$B$5)</f>
        <v/>
      </c>
      <c r="E270" s="12">
        <f>IF(A270="","",IF(Calculator!$B$17=1,ROUNDUP(D270*Calculator!$B$8/3600/Calculator!$B$24-0.000000001,0),D270*Calculator!$B$8/3600/Calculator!$B$24))</f>
        <v/>
      </c>
      <c r="F270" s="16">
        <f>IF(A270="","",IF(Calculator!$B$16=1,Calculator!$B$27,A270)*Calculator!$B$5*Calculator!$B$15)</f>
        <v/>
      </c>
      <c r="G270" s="16">
        <f>IF(A270="","",E270*Calculator!$B$6+Calculator!$C$37+F270+Calculator!$B$30)</f>
        <v/>
      </c>
      <c r="H270" s="16">
        <f>IF(A270="","",Calculator!$B$40-G270)</f>
        <v/>
      </c>
      <c r="I270" s="17">
        <f>IF(A270="","",A270*Calculator!$B$5*Calculator!$B$8/3600)</f>
        <v/>
      </c>
      <c r="J270" s="12">
        <f>IF(A270="","",Calculator!$B$35-E270)</f>
        <v/>
      </c>
    </row>
    <row r="271">
      <c r="A271" s="15">
        <f>IF(269/1000&lt;=Calculator!$B$27+0.0000001,269/1000,"")</f>
        <v/>
      </c>
      <c r="B271" s="15">
        <f>IF(A271="","",A271/Calculator!$B$27)</f>
        <v/>
      </c>
      <c r="C271" s="15">
        <f>IF(A271="","",Calculator!$B$27-A271)</f>
        <v/>
      </c>
      <c r="D271" s="17">
        <f>IF(A271="","",(Calculator!$B$11+C271)*Calculator!$B$5)</f>
        <v/>
      </c>
      <c r="E271" s="12">
        <f>IF(A271="","",IF(Calculator!$B$17=1,ROUNDUP(D271*Calculator!$B$8/3600/Calculator!$B$24-0.000000001,0),D271*Calculator!$B$8/3600/Calculator!$B$24))</f>
        <v/>
      </c>
      <c r="F271" s="16">
        <f>IF(A271="","",IF(Calculator!$B$16=1,Calculator!$B$27,A271)*Calculator!$B$5*Calculator!$B$15)</f>
        <v/>
      </c>
      <c r="G271" s="16">
        <f>IF(A271="","",E271*Calculator!$B$6+Calculator!$C$37+F271+Calculator!$B$30)</f>
        <v/>
      </c>
      <c r="H271" s="16">
        <f>IF(A271="","",Calculator!$B$40-G271)</f>
        <v/>
      </c>
      <c r="I271" s="17">
        <f>IF(A271="","",A271*Calculator!$B$5*Calculator!$B$8/3600)</f>
        <v/>
      </c>
      <c r="J271" s="12">
        <f>IF(A271="","",Calculator!$B$35-E271)</f>
        <v/>
      </c>
    </row>
    <row r="272">
      <c r="A272" s="15">
        <f>IF(270/1000&lt;=Calculator!$B$27+0.0000001,270/1000,"")</f>
        <v/>
      </c>
      <c r="B272" s="15">
        <f>IF(A272="","",A272/Calculator!$B$27)</f>
        <v/>
      </c>
      <c r="C272" s="15">
        <f>IF(A272="","",Calculator!$B$27-A272)</f>
        <v/>
      </c>
      <c r="D272" s="17">
        <f>IF(A272="","",(Calculator!$B$11+C272)*Calculator!$B$5)</f>
        <v/>
      </c>
      <c r="E272" s="12">
        <f>IF(A272="","",IF(Calculator!$B$17=1,ROUNDUP(D272*Calculator!$B$8/3600/Calculator!$B$24-0.000000001,0),D272*Calculator!$B$8/3600/Calculator!$B$24))</f>
        <v/>
      </c>
      <c r="F272" s="16">
        <f>IF(A272="","",IF(Calculator!$B$16=1,Calculator!$B$27,A272)*Calculator!$B$5*Calculator!$B$15)</f>
        <v/>
      </c>
      <c r="G272" s="16">
        <f>IF(A272="","",E272*Calculator!$B$6+Calculator!$C$37+F272+Calculator!$B$30)</f>
        <v/>
      </c>
      <c r="H272" s="16">
        <f>IF(A272="","",Calculator!$B$40-G272)</f>
        <v/>
      </c>
      <c r="I272" s="17">
        <f>IF(A272="","",A272*Calculator!$B$5*Calculator!$B$8/3600)</f>
        <v/>
      </c>
      <c r="J272" s="12">
        <f>IF(A272="","",Calculator!$B$35-E272)</f>
        <v/>
      </c>
    </row>
    <row r="273">
      <c r="A273" s="15">
        <f>IF(271/1000&lt;=Calculator!$B$27+0.0000001,271/1000,"")</f>
        <v/>
      </c>
      <c r="B273" s="15">
        <f>IF(A273="","",A273/Calculator!$B$27)</f>
        <v/>
      </c>
      <c r="C273" s="15">
        <f>IF(A273="","",Calculator!$B$27-A273)</f>
        <v/>
      </c>
      <c r="D273" s="17">
        <f>IF(A273="","",(Calculator!$B$11+C273)*Calculator!$B$5)</f>
        <v/>
      </c>
      <c r="E273" s="12">
        <f>IF(A273="","",IF(Calculator!$B$17=1,ROUNDUP(D273*Calculator!$B$8/3600/Calculator!$B$24-0.000000001,0),D273*Calculator!$B$8/3600/Calculator!$B$24))</f>
        <v/>
      </c>
      <c r="F273" s="16">
        <f>IF(A273="","",IF(Calculator!$B$16=1,Calculator!$B$27,A273)*Calculator!$B$5*Calculator!$B$15)</f>
        <v/>
      </c>
      <c r="G273" s="16">
        <f>IF(A273="","",E273*Calculator!$B$6+Calculator!$C$37+F273+Calculator!$B$30)</f>
        <v/>
      </c>
      <c r="H273" s="16">
        <f>IF(A273="","",Calculator!$B$40-G273)</f>
        <v/>
      </c>
      <c r="I273" s="17">
        <f>IF(A273="","",A273*Calculator!$B$5*Calculator!$B$8/3600)</f>
        <v/>
      </c>
      <c r="J273" s="12">
        <f>IF(A273="","",Calculator!$B$35-E273)</f>
        <v/>
      </c>
    </row>
    <row r="274">
      <c r="A274" s="15">
        <f>IF(272/1000&lt;=Calculator!$B$27+0.0000001,272/1000,"")</f>
        <v/>
      </c>
      <c r="B274" s="15">
        <f>IF(A274="","",A274/Calculator!$B$27)</f>
        <v/>
      </c>
      <c r="C274" s="15">
        <f>IF(A274="","",Calculator!$B$27-A274)</f>
        <v/>
      </c>
      <c r="D274" s="17">
        <f>IF(A274="","",(Calculator!$B$11+C274)*Calculator!$B$5)</f>
        <v/>
      </c>
      <c r="E274" s="12">
        <f>IF(A274="","",IF(Calculator!$B$17=1,ROUNDUP(D274*Calculator!$B$8/3600/Calculator!$B$24-0.000000001,0),D274*Calculator!$B$8/3600/Calculator!$B$24))</f>
        <v/>
      </c>
      <c r="F274" s="16">
        <f>IF(A274="","",IF(Calculator!$B$16=1,Calculator!$B$27,A274)*Calculator!$B$5*Calculator!$B$15)</f>
        <v/>
      </c>
      <c r="G274" s="16">
        <f>IF(A274="","",E274*Calculator!$B$6+Calculator!$C$37+F274+Calculator!$B$30)</f>
        <v/>
      </c>
      <c r="H274" s="16">
        <f>IF(A274="","",Calculator!$B$40-G274)</f>
        <v/>
      </c>
      <c r="I274" s="17">
        <f>IF(A274="","",A274*Calculator!$B$5*Calculator!$B$8/3600)</f>
        <v/>
      </c>
      <c r="J274" s="12">
        <f>IF(A274="","",Calculator!$B$35-E274)</f>
        <v/>
      </c>
    </row>
    <row r="275">
      <c r="A275" s="15">
        <f>IF(273/1000&lt;=Calculator!$B$27+0.0000001,273/1000,"")</f>
        <v/>
      </c>
      <c r="B275" s="15">
        <f>IF(A275="","",A275/Calculator!$B$27)</f>
        <v/>
      </c>
      <c r="C275" s="15">
        <f>IF(A275="","",Calculator!$B$27-A275)</f>
        <v/>
      </c>
      <c r="D275" s="17">
        <f>IF(A275="","",(Calculator!$B$11+C275)*Calculator!$B$5)</f>
        <v/>
      </c>
      <c r="E275" s="12">
        <f>IF(A275="","",IF(Calculator!$B$17=1,ROUNDUP(D275*Calculator!$B$8/3600/Calculator!$B$24-0.000000001,0),D275*Calculator!$B$8/3600/Calculator!$B$24))</f>
        <v/>
      </c>
      <c r="F275" s="16">
        <f>IF(A275="","",IF(Calculator!$B$16=1,Calculator!$B$27,A275)*Calculator!$B$5*Calculator!$B$15)</f>
        <v/>
      </c>
      <c r="G275" s="16">
        <f>IF(A275="","",E275*Calculator!$B$6+Calculator!$C$37+F275+Calculator!$B$30)</f>
        <v/>
      </c>
      <c r="H275" s="16">
        <f>IF(A275="","",Calculator!$B$40-G275)</f>
        <v/>
      </c>
      <c r="I275" s="17">
        <f>IF(A275="","",A275*Calculator!$B$5*Calculator!$B$8/3600)</f>
        <v/>
      </c>
      <c r="J275" s="12">
        <f>IF(A275="","",Calculator!$B$35-E275)</f>
        <v/>
      </c>
    </row>
    <row r="276">
      <c r="A276" s="15">
        <f>IF(274/1000&lt;=Calculator!$B$27+0.0000001,274/1000,"")</f>
        <v/>
      </c>
      <c r="B276" s="15">
        <f>IF(A276="","",A276/Calculator!$B$27)</f>
        <v/>
      </c>
      <c r="C276" s="15">
        <f>IF(A276="","",Calculator!$B$27-A276)</f>
        <v/>
      </c>
      <c r="D276" s="17">
        <f>IF(A276="","",(Calculator!$B$11+C276)*Calculator!$B$5)</f>
        <v/>
      </c>
      <c r="E276" s="12">
        <f>IF(A276="","",IF(Calculator!$B$17=1,ROUNDUP(D276*Calculator!$B$8/3600/Calculator!$B$24-0.000000001,0),D276*Calculator!$B$8/3600/Calculator!$B$24))</f>
        <v/>
      </c>
      <c r="F276" s="16">
        <f>IF(A276="","",IF(Calculator!$B$16=1,Calculator!$B$27,A276)*Calculator!$B$5*Calculator!$B$15)</f>
        <v/>
      </c>
      <c r="G276" s="16">
        <f>IF(A276="","",E276*Calculator!$B$6+Calculator!$C$37+F276+Calculator!$B$30)</f>
        <v/>
      </c>
      <c r="H276" s="16">
        <f>IF(A276="","",Calculator!$B$40-G276)</f>
        <v/>
      </c>
      <c r="I276" s="17">
        <f>IF(A276="","",A276*Calculator!$B$5*Calculator!$B$8/3600)</f>
        <v/>
      </c>
      <c r="J276" s="12">
        <f>IF(A276="","",Calculator!$B$35-E276)</f>
        <v/>
      </c>
    </row>
    <row r="277">
      <c r="A277" s="15">
        <f>IF(275/1000&lt;=Calculator!$B$27+0.0000001,275/1000,"")</f>
        <v/>
      </c>
      <c r="B277" s="15">
        <f>IF(A277="","",A277/Calculator!$B$27)</f>
        <v/>
      </c>
      <c r="C277" s="15">
        <f>IF(A277="","",Calculator!$B$27-A277)</f>
        <v/>
      </c>
      <c r="D277" s="17">
        <f>IF(A277="","",(Calculator!$B$11+C277)*Calculator!$B$5)</f>
        <v/>
      </c>
      <c r="E277" s="12">
        <f>IF(A277="","",IF(Calculator!$B$17=1,ROUNDUP(D277*Calculator!$B$8/3600/Calculator!$B$24-0.000000001,0),D277*Calculator!$B$8/3600/Calculator!$B$24))</f>
        <v/>
      </c>
      <c r="F277" s="16">
        <f>IF(A277="","",IF(Calculator!$B$16=1,Calculator!$B$27,A277)*Calculator!$B$5*Calculator!$B$15)</f>
        <v/>
      </c>
      <c r="G277" s="16">
        <f>IF(A277="","",E277*Calculator!$B$6+Calculator!$C$37+F277+Calculator!$B$30)</f>
        <v/>
      </c>
      <c r="H277" s="16">
        <f>IF(A277="","",Calculator!$B$40-G277)</f>
        <v/>
      </c>
      <c r="I277" s="17">
        <f>IF(A277="","",A277*Calculator!$B$5*Calculator!$B$8/3600)</f>
        <v/>
      </c>
      <c r="J277" s="12">
        <f>IF(A277="","",Calculator!$B$35-E277)</f>
        <v/>
      </c>
    </row>
    <row r="278">
      <c r="A278" s="15">
        <f>IF(276/1000&lt;=Calculator!$B$27+0.0000001,276/1000,"")</f>
        <v/>
      </c>
      <c r="B278" s="15">
        <f>IF(A278="","",A278/Calculator!$B$27)</f>
        <v/>
      </c>
      <c r="C278" s="15">
        <f>IF(A278="","",Calculator!$B$27-A278)</f>
        <v/>
      </c>
      <c r="D278" s="17">
        <f>IF(A278="","",(Calculator!$B$11+C278)*Calculator!$B$5)</f>
        <v/>
      </c>
      <c r="E278" s="12">
        <f>IF(A278="","",IF(Calculator!$B$17=1,ROUNDUP(D278*Calculator!$B$8/3600/Calculator!$B$24-0.000000001,0),D278*Calculator!$B$8/3600/Calculator!$B$24))</f>
        <v/>
      </c>
      <c r="F278" s="16">
        <f>IF(A278="","",IF(Calculator!$B$16=1,Calculator!$B$27,A278)*Calculator!$B$5*Calculator!$B$15)</f>
        <v/>
      </c>
      <c r="G278" s="16">
        <f>IF(A278="","",E278*Calculator!$B$6+Calculator!$C$37+F278+Calculator!$B$30)</f>
        <v/>
      </c>
      <c r="H278" s="16">
        <f>IF(A278="","",Calculator!$B$40-G278)</f>
        <v/>
      </c>
      <c r="I278" s="17">
        <f>IF(A278="","",A278*Calculator!$B$5*Calculator!$B$8/3600)</f>
        <v/>
      </c>
      <c r="J278" s="12">
        <f>IF(A278="","",Calculator!$B$35-E278)</f>
        <v/>
      </c>
    </row>
    <row r="279">
      <c r="A279" s="15">
        <f>IF(277/1000&lt;=Calculator!$B$27+0.0000001,277/1000,"")</f>
        <v/>
      </c>
      <c r="B279" s="15">
        <f>IF(A279="","",A279/Calculator!$B$27)</f>
        <v/>
      </c>
      <c r="C279" s="15">
        <f>IF(A279="","",Calculator!$B$27-A279)</f>
        <v/>
      </c>
      <c r="D279" s="17">
        <f>IF(A279="","",(Calculator!$B$11+C279)*Calculator!$B$5)</f>
        <v/>
      </c>
      <c r="E279" s="12">
        <f>IF(A279="","",IF(Calculator!$B$17=1,ROUNDUP(D279*Calculator!$B$8/3600/Calculator!$B$24-0.000000001,0),D279*Calculator!$B$8/3600/Calculator!$B$24))</f>
        <v/>
      </c>
      <c r="F279" s="16">
        <f>IF(A279="","",IF(Calculator!$B$16=1,Calculator!$B$27,A279)*Calculator!$B$5*Calculator!$B$15)</f>
        <v/>
      </c>
      <c r="G279" s="16">
        <f>IF(A279="","",E279*Calculator!$B$6+Calculator!$C$37+F279+Calculator!$B$30)</f>
        <v/>
      </c>
      <c r="H279" s="16">
        <f>IF(A279="","",Calculator!$B$40-G279)</f>
        <v/>
      </c>
      <c r="I279" s="17">
        <f>IF(A279="","",A279*Calculator!$B$5*Calculator!$B$8/3600)</f>
        <v/>
      </c>
      <c r="J279" s="12">
        <f>IF(A279="","",Calculator!$B$35-E279)</f>
        <v/>
      </c>
    </row>
    <row r="280">
      <c r="A280" s="15">
        <f>IF(278/1000&lt;=Calculator!$B$27+0.0000001,278/1000,"")</f>
        <v/>
      </c>
      <c r="B280" s="15">
        <f>IF(A280="","",A280/Calculator!$B$27)</f>
        <v/>
      </c>
      <c r="C280" s="15">
        <f>IF(A280="","",Calculator!$B$27-A280)</f>
        <v/>
      </c>
      <c r="D280" s="17">
        <f>IF(A280="","",(Calculator!$B$11+C280)*Calculator!$B$5)</f>
        <v/>
      </c>
      <c r="E280" s="12">
        <f>IF(A280="","",IF(Calculator!$B$17=1,ROUNDUP(D280*Calculator!$B$8/3600/Calculator!$B$24-0.000000001,0),D280*Calculator!$B$8/3600/Calculator!$B$24))</f>
        <v/>
      </c>
      <c r="F280" s="16">
        <f>IF(A280="","",IF(Calculator!$B$16=1,Calculator!$B$27,A280)*Calculator!$B$5*Calculator!$B$15)</f>
        <v/>
      </c>
      <c r="G280" s="16">
        <f>IF(A280="","",E280*Calculator!$B$6+Calculator!$C$37+F280+Calculator!$B$30)</f>
        <v/>
      </c>
      <c r="H280" s="16">
        <f>IF(A280="","",Calculator!$B$40-G280)</f>
        <v/>
      </c>
      <c r="I280" s="17">
        <f>IF(A280="","",A280*Calculator!$B$5*Calculator!$B$8/3600)</f>
        <v/>
      </c>
      <c r="J280" s="12">
        <f>IF(A280="","",Calculator!$B$35-E280)</f>
        <v/>
      </c>
    </row>
    <row r="281">
      <c r="A281" s="15">
        <f>IF(279/1000&lt;=Calculator!$B$27+0.0000001,279/1000,"")</f>
        <v/>
      </c>
      <c r="B281" s="15">
        <f>IF(A281="","",A281/Calculator!$B$27)</f>
        <v/>
      </c>
      <c r="C281" s="15">
        <f>IF(A281="","",Calculator!$B$27-A281)</f>
        <v/>
      </c>
      <c r="D281" s="17">
        <f>IF(A281="","",(Calculator!$B$11+C281)*Calculator!$B$5)</f>
        <v/>
      </c>
      <c r="E281" s="12">
        <f>IF(A281="","",IF(Calculator!$B$17=1,ROUNDUP(D281*Calculator!$B$8/3600/Calculator!$B$24-0.000000001,0),D281*Calculator!$B$8/3600/Calculator!$B$24))</f>
        <v/>
      </c>
      <c r="F281" s="16">
        <f>IF(A281="","",IF(Calculator!$B$16=1,Calculator!$B$27,A281)*Calculator!$B$5*Calculator!$B$15)</f>
        <v/>
      </c>
      <c r="G281" s="16">
        <f>IF(A281="","",E281*Calculator!$B$6+Calculator!$C$37+F281+Calculator!$B$30)</f>
        <v/>
      </c>
      <c r="H281" s="16">
        <f>IF(A281="","",Calculator!$B$40-G281)</f>
        <v/>
      </c>
      <c r="I281" s="17">
        <f>IF(A281="","",A281*Calculator!$B$5*Calculator!$B$8/3600)</f>
        <v/>
      </c>
      <c r="J281" s="12">
        <f>IF(A281="","",Calculator!$B$35-E281)</f>
        <v/>
      </c>
    </row>
    <row r="282">
      <c r="A282" s="15">
        <f>IF(280/1000&lt;=Calculator!$B$27+0.0000001,280/1000,"")</f>
        <v/>
      </c>
      <c r="B282" s="15">
        <f>IF(A282="","",A282/Calculator!$B$27)</f>
        <v/>
      </c>
      <c r="C282" s="15">
        <f>IF(A282="","",Calculator!$B$27-A282)</f>
        <v/>
      </c>
      <c r="D282" s="17">
        <f>IF(A282="","",(Calculator!$B$11+C282)*Calculator!$B$5)</f>
        <v/>
      </c>
      <c r="E282" s="12">
        <f>IF(A282="","",IF(Calculator!$B$17=1,ROUNDUP(D282*Calculator!$B$8/3600/Calculator!$B$24-0.000000001,0),D282*Calculator!$B$8/3600/Calculator!$B$24))</f>
        <v/>
      </c>
      <c r="F282" s="16">
        <f>IF(A282="","",IF(Calculator!$B$16=1,Calculator!$B$27,A282)*Calculator!$B$5*Calculator!$B$15)</f>
        <v/>
      </c>
      <c r="G282" s="16">
        <f>IF(A282="","",E282*Calculator!$B$6+Calculator!$C$37+F282+Calculator!$B$30)</f>
        <v/>
      </c>
      <c r="H282" s="16">
        <f>IF(A282="","",Calculator!$B$40-G282)</f>
        <v/>
      </c>
      <c r="I282" s="17">
        <f>IF(A282="","",A282*Calculator!$B$5*Calculator!$B$8/3600)</f>
        <v/>
      </c>
      <c r="J282" s="12">
        <f>IF(A282="","",Calculator!$B$35-E282)</f>
        <v/>
      </c>
    </row>
    <row r="283">
      <c r="A283" s="15">
        <f>IF(281/1000&lt;=Calculator!$B$27+0.0000001,281/1000,"")</f>
        <v/>
      </c>
      <c r="B283" s="15">
        <f>IF(A283="","",A283/Calculator!$B$27)</f>
        <v/>
      </c>
      <c r="C283" s="15">
        <f>IF(A283="","",Calculator!$B$27-A283)</f>
        <v/>
      </c>
      <c r="D283" s="17">
        <f>IF(A283="","",(Calculator!$B$11+C283)*Calculator!$B$5)</f>
        <v/>
      </c>
      <c r="E283" s="12">
        <f>IF(A283="","",IF(Calculator!$B$17=1,ROUNDUP(D283*Calculator!$B$8/3600/Calculator!$B$24-0.000000001,0),D283*Calculator!$B$8/3600/Calculator!$B$24))</f>
        <v/>
      </c>
      <c r="F283" s="16">
        <f>IF(A283="","",IF(Calculator!$B$16=1,Calculator!$B$27,A283)*Calculator!$B$5*Calculator!$B$15)</f>
        <v/>
      </c>
      <c r="G283" s="16">
        <f>IF(A283="","",E283*Calculator!$B$6+Calculator!$C$37+F283+Calculator!$B$30)</f>
        <v/>
      </c>
      <c r="H283" s="16">
        <f>IF(A283="","",Calculator!$B$40-G283)</f>
        <v/>
      </c>
      <c r="I283" s="17">
        <f>IF(A283="","",A283*Calculator!$B$5*Calculator!$B$8/3600)</f>
        <v/>
      </c>
      <c r="J283" s="12">
        <f>IF(A283="","",Calculator!$B$35-E283)</f>
        <v/>
      </c>
    </row>
    <row r="284">
      <c r="A284" s="15">
        <f>IF(282/1000&lt;=Calculator!$B$27+0.0000001,282/1000,"")</f>
        <v/>
      </c>
      <c r="B284" s="15">
        <f>IF(A284="","",A284/Calculator!$B$27)</f>
        <v/>
      </c>
      <c r="C284" s="15">
        <f>IF(A284="","",Calculator!$B$27-A284)</f>
        <v/>
      </c>
      <c r="D284" s="17">
        <f>IF(A284="","",(Calculator!$B$11+C284)*Calculator!$B$5)</f>
        <v/>
      </c>
      <c r="E284" s="12">
        <f>IF(A284="","",IF(Calculator!$B$17=1,ROUNDUP(D284*Calculator!$B$8/3600/Calculator!$B$24-0.000000001,0),D284*Calculator!$B$8/3600/Calculator!$B$24))</f>
        <v/>
      </c>
      <c r="F284" s="16">
        <f>IF(A284="","",IF(Calculator!$B$16=1,Calculator!$B$27,A284)*Calculator!$B$5*Calculator!$B$15)</f>
        <v/>
      </c>
      <c r="G284" s="16">
        <f>IF(A284="","",E284*Calculator!$B$6+Calculator!$C$37+F284+Calculator!$B$30)</f>
        <v/>
      </c>
      <c r="H284" s="16">
        <f>IF(A284="","",Calculator!$B$40-G284)</f>
        <v/>
      </c>
      <c r="I284" s="17">
        <f>IF(A284="","",A284*Calculator!$B$5*Calculator!$B$8/3600)</f>
        <v/>
      </c>
      <c r="J284" s="12">
        <f>IF(A284="","",Calculator!$B$35-E284)</f>
        <v/>
      </c>
    </row>
    <row r="285">
      <c r="A285" s="15">
        <f>IF(283/1000&lt;=Calculator!$B$27+0.0000001,283/1000,"")</f>
        <v/>
      </c>
      <c r="B285" s="15">
        <f>IF(A285="","",A285/Calculator!$B$27)</f>
        <v/>
      </c>
      <c r="C285" s="15">
        <f>IF(A285="","",Calculator!$B$27-A285)</f>
        <v/>
      </c>
      <c r="D285" s="17">
        <f>IF(A285="","",(Calculator!$B$11+C285)*Calculator!$B$5)</f>
        <v/>
      </c>
      <c r="E285" s="12">
        <f>IF(A285="","",IF(Calculator!$B$17=1,ROUNDUP(D285*Calculator!$B$8/3600/Calculator!$B$24-0.000000001,0),D285*Calculator!$B$8/3600/Calculator!$B$24))</f>
        <v/>
      </c>
      <c r="F285" s="16">
        <f>IF(A285="","",IF(Calculator!$B$16=1,Calculator!$B$27,A285)*Calculator!$B$5*Calculator!$B$15)</f>
        <v/>
      </c>
      <c r="G285" s="16">
        <f>IF(A285="","",E285*Calculator!$B$6+Calculator!$C$37+F285+Calculator!$B$30)</f>
        <v/>
      </c>
      <c r="H285" s="16">
        <f>IF(A285="","",Calculator!$B$40-G285)</f>
        <v/>
      </c>
      <c r="I285" s="17">
        <f>IF(A285="","",A285*Calculator!$B$5*Calculator!$B$8/3600)</f>
        <v/>
      </c>
      <c r="J285" s="12">
        <f>IF(A285="","",Calculator!$B$35-E285)</f>
        <v/>
      </c>
    </row>
    <row r="286">
      <c r="A286" s="15">
        <f>IF(284/1000&lt;=Calculator!$B$27+0.0000001,284/1000,"")</f>
        <v/>
      </c>
      <c r="B286" s="15">
        <f>IF(A286="","",A286/Calculator!$B$27)</f>
        <v/>
      </c>
      <c r="C286" s="15">
        <f>IF(A286="","",Calculator!$B$27-A286)</f>
        <v/>
      </c>
      <c r="D286" s="17">
        <f>IF(A286="","",(Calculator!$B$11+C286)*Calculator!$B$5)</f>
        <v/>
      </c>
      <c r="E286" s="12">
        <f>IF(A286="","",IF(Calculator!$B$17=1,ROUNDUP(D286*Calculator!$B$8/3600/Calculator!$B$24-0.000000001,0),D286*Calculator!$B$8/3600/Calculator!$B$24))</f>
        <v/>
      </c>
      <c r="F286" s="16">
        <f>IF(A286="","",IF(Calculator!$B$16=1,Calculator!$B$27,A286)*Calculator!$B$5*Calculator!$B$15)</f>
        <v/>
      </c>
      <c r="G286" s="16">
        <f>IF(A286="","",E286*Calculator!$B$6+Calculator!$C$37+F286+Calculator!$B$30)</f>
        <v/>
      </c>
      <c r="H286" s="16">
        <f>IF(A286="","",Calculator!$B$40-G286)</f>
        <v/>
      </c>
      <c r="I286" s="17">
        <f>IF(A286="","",A286*Calculator!$B$5*Calculator!$B$8/3600)</f>
        <v/>
      </c>
      <c r="J286" s="12">
        <f>IF(A286="","",Calculator!$B$35-E286)</f>
        <v/>
      </c>
    </row>
    <row r="287">
      <c r="A287" s="15">
        <f>IF(285/1000&lt;=Calculator!$B$27+0.0000001,285/1000,"")</f>
        <v/>
      </c>
      <c r="B287" s="15">
        <f>IF(A287="","",A287/Calculator!$B$27)</f>
        <v/>
      </c>
      <c r="C287" s="15">
        <f>IF(A287="","",Calculator!$B$27-A287)</f>
        <v/>
      </c>
      <c r="D287" s="17">
        <f>IF(A287="","",(Calculator!$B$11+C287)*Calculator!$B$5)</f>
        <v/>
      </c>
      <c r="E287" s="12">
        <f>IF(A287="","",IF(Calculator!$B$17=1,ROUNDUP(D287*Calculator!$B$8/3600/Calculator!$B$24-0.000000001,0),D287*Calculator!$B$8/3600/Calculator!$B$24))</f>
        <v/>
      </c>
      <c r="F287" s="16">
        <f>IF(A287="","",IF(Calculator!$B$16=1,Calculator!$B$27,A287)*Calculator!$B$5*Calculator!$B$15)</f>
        <v/>
      </c>
      <c r="G287" s="16">
        <f>IF(A287="","",E287*Calculator!$B$6+Calculator!$C$37+F287+Calculator!$B$30)</f>
        <v/>
      </c>
      <c r="H287" s="16">
        <f>IF(A287="","",Calculator!$B$40-G287)</f>
        <v/>
      </c>
      <c r="I287" s="17">
        <f>IF(A287="","",A287*Calculator!$B$5*Calculator!$B$8/3600)</f>
        <v/>
      </c>
      <c r="J287" s="12">
        <f>IF(A287="","",Calculator!$B$35-E287)</f>
        <v/>
      </c>
    </row>
    <row r="288">
      <c r="A288" s="15">
        <f>IF(286/1000&lt;=Calculator!$B$27+0.0000001,286/1000,"")</f>
        <v/>
      </c>
      <c r="B288" s="15">
        <f>IF(A288="","",A288/Calculator!$B$27)</f>
        <v/>
      </c>
      <c r="C288" s="15">
        <f>IF(A288="","",Calculator!$B$27-A288)</f>
        <v/>
      </c>
      <c r="D288" s="17">
        <f>IF(A288="","",(Calculator!$B$11+C288)*Calculator!$B$5)</f>
        <v/>
      </c>
      <c r="E288" s="12">
        <f>IF(A288="","",IF(Calculator!$B$17=1,ROUNDUP(D288*Calculator!$B$8/3600/Calculator!$B$24-0.000000001,0),D288*Calculator!$B$8/3600/Calculator!$B$24))</f>
        <v/>
      </c>
      <c r="F288" s="16">
        <f>IF(A288="","",IF(Calculator!$B$16=1,Calculator!$B$27,A288)*Calculator!$B$5*Calculator!$B$15)</f>
        <v/>
      </c>
      <c r="G288" s="16">
        <f>IF(A288="","",E288*Calculator!$B$6+Calculator!$C$37+F288+Calculator!$B$30)</f>
        <v/>
      </c>
      <c r="H288" s="16">
        <f>IF(A288="","",Calculator!$B$40-G288)</f>
        <v/>
      </c>
      <c r="I288" s="17">
        <f>IF(A288="","",A288*Calculator!$B$5*Calculator!$B$8/3600)</f>
        <v/>
      </c>
      <c r="J288" s="12">
        <f>IF(A288="","",Calculator!$B$35-E288)</f>
        <v/>
      </c>
    </row>
    <row r="289">
      <c r="A289" s="15">
        <f>IF(287/1000&lt;=Calculator!$B$27+0.0000001,287/1000,"")</f>
        <v/>
      </c>
      <c r="B289" s="15">
        <f>IF(A289="","",A289/Calculator!$B$27)</f>
        <v/>
      </c>
      <c r="C289" s="15">
        <f>IF(A289="","",Calculator!$B$27-A289)</f>
        <v/>
      </c>
      <c r="D289" s="17">
        <f>IF(A289="","",(Calculator!$B$11+C289)*Calculator!$B$5)</f>
        <v/>
      </c>
      <c r="E289" s="12">
        <f>IF(A289="","",IF(Calculator!$B$17=1,ROUNDUP(D289*Calculator!$B$8/3600/Calculator!$B$24-0.000000001,0),D289*Calculator!$B$8/3600/Calculator!$B$24))</f>
        <v/>
      </c>
      <c r="F289" s="16">
        <f>IF(A289="","",IF(Calculator!$B$16=1,Calculator!$B$27,A289)*Calculator!$B$5*Calculator!$B$15)</f>
        <v/>
      </c>
      <c r="G289" s="16">
        <f>IF(A289="","",E289*Calculator!$B$6+Calculator!$C$37+F289+Calculator!$B$30)</f>
        <v/>
      </c>
      <c r="H289" s="16">
        <f>IF(A289="","",Calculator!$B$40-G289)</f>
        <v/>
      </c>
      <c r="I289" s="17">
        <f>IF(A289="","",A289*Calculator!$B$5*Calculator!$B$8/3600)</f>
        <v/>
      </c>
      <c r="J289" s="12">
        <f>IF(A289="","",Calculator!$B$35-E289)</f>
        <v/>
      </c>
    </row>
    <row r="290">
      <c r="A290" s="15">
        <f>IF(288/1000&lt;=Calculator!$B$27+0.0000001,288/1000,"")</f>
        <v/>
      </c>
      <c r="B290" s="15">
        <f>IF(A290="","",A290/Calculator!$B$27)</f>
        <v/>
      </c>
      <c r="C290" s="15">
        <f>IF(A290="","",Calculator!$B$27-A290)</f>
        <v/>
      </c>
      <c r="D290" s="17">
        <f>IF(A290="","",(Calculator!$B$11+C290)*Calculator!$B$5)</f>
        <v/>
      </c>
      <c r="E290" s="12">
        <f>IF(A290="","",IF(Calculator!$B$17=1,ROUNDUP(D290*Calculator!$B$8/3600/Calculator!$B$24-0.000000001,0),D290*Calculator!$B$8/3600/Calculator!$B$24))</f>
        <v/>
      </c>
      <c r="F290" s="16">
        <f>IF(A290="","",IF(Calculator!$B$16=1,Calculator!$B$27,A290)*Calculator!$B$5*Calculator!$B$15)</f>
        <v/>
      </c>
      <c r="G290" s="16">
        <f>IF(A290="","",E290*Calculator!$B$6+Calculator!$C$37+F290+Calculator!$B$30)</f>
        <v/>
      </c>
      <c r="H290" s="16">
        <f>IF(A290="","",Calculator!$B$40-G290)</f>
        <v/>
      </c>
      <c r="I290" s="17">
        <f>IF(A290="","",A290*Calculator!$B$5*Calculator!$B$8/3600)</f>
        <v/>
      </c>
      <c r="J290" s="12">
        <f>IF(A290="","",Calculator!$B$35-E290)</f>
        <v/>
      </c>
    </row>
    <row r="291">
      <c r="A291" s="15">
        <f>IF(289/1000&lt;=Calculator!$B$27+0.0000001,289/1000,"")</f>
        <v/>
      </c>
      <c r="B291" s="15">
        <f>IF(A291="","",A291/Calculator!$B$27)</f>
        <v/>
      </c>
      <c r="C291" s="15">
        <f>IF(A291="","",Calculator!$B$27-A291)</f>
        <v/>
      </c>
      <c r="D291" s="17">
        <f>IF(A291="","",(Calculator!$B$11+C291)*Calculator!$B$5)</f>
        <v/>
      </c>
      <c r="E291" s="12">
        <f>IF(A291="","",IF(Calculator!$B$17=1,ROUNDUP(D291*Calculator!$B$8/3600/Calculator!$B$24-0.000000001,0),D291*Calculator!$B$8/3600/Calculator!$B$24))</f>
        <v/>
      </c>
      <c r="F291" s="16">
        <f>IF(A291="","",IF(Calculator!$B$16=1,Calculator!$B$27,A291)*Calculator!$B$5*Calculator!$B$15)</f>
        <v/>
      </c>
      <c r="G291" s="16">
        <f>IF(A291="","",E291*Calculator!$B$6+Calculator!$C$37+F291+Calculator!$B$30)</f>
        <v/>
      </c>
      <c r="H291" s="16">
        <f>IF(A291="","",Calculator!$B$40-G291)</f>
        <v/>
      </c>
      <c r="I291" s="17">
        <f>IF(A291="","",A291*Calculator!$B$5*Calculator!$B$8/3600)</f>
        <v/>
      </c>
      <c r="J291" s="12">
        <f>IF(A291="","",Calculator!$B$35-E291)</f>
        <v/>
      </c>
    </row>
    <row r="292">
      <c r="A292" s="15">
        <f>IF(290/1000&lt;=Calculator!$B$27+0.0000001,290/1000,"")</f>
        <v/>
      </c>
      <c r="B292" s="15">
        <f>IF(A292="","",A292/Calculator!$B$27)</f>
        <v/>
      </c>
      <c r="C292" s="15">
        <f>IF(A292="","",Calculator!$B$27-A292)</f>
        <v/>
      </c>
      <c r="D292" s="17">
        <f>IF(A292="","",(Calculator!$B$11+C292)*Calculator!$B$5)</f>
        <v/>
      </c>
      <c r="E292" s="12">
        <f>IF(A292="","",IF(Calculator!$B$17=1,ROUNDUP(D292*Calculator!$B$8/3600/Calculator!$B$24-0.000000001,0),D292*Calculator!$B$8/3600/Calculator!$B$24))</f>
        <v/>
      </c>
      <c r="F292" s="16">
        <f>IF(A292="","",IF(Calculator!$B$16=1,Calculator!$B$27,A292)*Calculator!$B$5*Calculator!$B$15)</f>
        <v/>
      </c>
      <c r="G292" s="16">
        <f>IF(A292="","",E292*Calculator!$B$6+Calculator!$C$37+F292+Calculator!$B$30)</f>
        <v/>
      </c>
      <c r="H292" s="16">
        <f>IF(A292="","",Calculator!$B$40-G292)</f>
        <v/>
      </c>
      <c r="I292" s="17">
        <f>IF(A292="","",A292*Calculator!$B$5*Calculator!$B$8/3600)</f>
        <v/>
      </c>
      <c r="J292" s="12">
        <f>IF(A292="","",Calculator!$B$35-E292)</f>
        <v/>
      </c>
    </row>
    <row r="293">
      <c r="A293" s="15">
        <f>IF(291/1000&lt;=Calculator!$B$27+0.0000001,291/1000,"")</f>
        <v/>
      </c>
      <c r="B293" s="15">
        <f>IF(A293="","",A293/Calculator!$B$27)</f>
        <v/>
      </c>
      <c r="C293" s="15">
        <f>IF(A293="","",Calculator!$B$27-A293)</f>
        <v/>
      </c>
      <c r="D293" s="17">
        <f>IF(A293="","",(Calculator!$B$11+C293)*Calculator!$B$5)</f>
        <v/>
      </c>
      <c r="E293" s="12">
        <f>IF(A293="","",IF(Calculator!$B$17=1,ROUNDUP(D293*Calculator!$B$8/3600/Calculator!$B$24-0.000000001,0),D293*Calculator!$B$8/3600/Calculator!$B$24))</f>
        <v/>
      </c>
      <c r="F293" s="16">
        <f>IF(A293="","",IF(Calculator!$B$16=1,Calculator!$B$27,A293)*Calculator!$B$5*Calculator!$B$15)</f>
        <v/>
      </c>
      <c r="G293" s="16">
        <f>IF(A293="","",E293*Calculator!$B$6+Calculator!$C$37+F293+Calculator!$B$30)</f>
        <v/>
      </c>
      <c r="H293" s="16">
        <f>IF(A293="","",Calculator!$B$40-G293)</f>
        <v/>
      </c>
      <c r="I293" s="17">
        <f>IF(A293="","",A293*Calculator!$B$5*Calculator!$B$8/3600)</f>
        <v/>
      </c>
      <c r="J293" s="12">
        <f>IF(A293="","",Calculator!$B$35-E293)</f>
        <v/>
      </c>
    </row>
    <row r="294">
      <c r="A294" s="15">
        <f>IF(292/1000&lt;=Calculator!$B$27+0.0000001,292/1000,"")</f>
        <v/>
      </c>
      <c r="B294" s="15">
        <f>IF(A294="","",A294/Calculator!$B$27)</f>
        <v/>
      </c>
      <c r="C294" s="15">
        <f>IF(A294="","",Calculator!$B$27-A294)</f>
        <v/>
      </c>
      <c r="D294" s="17">
        <f>IF(A294="","",(Calculator!$B$11+C294)*Calculator!$B$5)</f>
        <v/>
      </c>
      <c r="E294" s="12">
        <f>IF(A294="","",IF(Calculator!$B$17=1,ROUNDUP(D294*Calculator!$B$8/3600/Calculator!$B$24-0.000000001,0),D294*Calculator!$B$8/3600/Calculator!$B$24))</f>
        <v/>
      </c>
      <c r="F294" s="16">
        <f>IF(A294="","",IF(Calculator!$B$16=1,Calculator!$B$27,A294)*Calculator!$B$5*Calculator!$B$15)</f>
        <v/>
      </c>
      <c r="G294" s="16">
        <f>IF(A294="","",E294*Calculator!$B$6+Calculator!$C$37+F294+Calculator!$B$30)</f>
        <v/>
      </c>
      <c r="H294" s="16">
        <f>IF(A294="","",Calculator!$B$40-G294)</f>
        <v/>
      </c>
      <c r="I294" s="17">
        <f>IF(A294="","",A294*Calculator!$B$5*Calculator!$B$8/3600)</f>
        <v/>
      </c>
      <c r="J294" s="12">
        <f>IF(A294="","",Calculator!$B$35-E294)</f>
        <v/>
      </c>
    </row>
    <row r="295">
      <c r="A295" s="15">
        <f>IF(293/1000&lt;=Calculator!$B$27+0.0000001,293/1000,"")</f>
        <v/>
      </c>
      <c r="B295" s="15">
        <f>IF(A295="","",A295/Calculator!$B$27)</f>
        <v/>
      </c>
      <c r="C295" s="15">
        <f>IF(A295="","",Calculator!$B$27-A295)</f>
        <v/>
      </c>
      <c r="D295" s="17">
        <f>IF(A295="","",(Calculator!$B$11+C295)*Calculator!$B$5)</f>
        <v/>
      </c>
      <c r="E295" s="12">
        <f>IF(A295="","",IF(Calculator!$B$17=1,ROUNDUP(D295*Calculator!$B$8/3600/Calculator!$B$24-0.000000001,0),D295*Calculator!$B$8/3600/Calculator!$B$24))</f>
        <v/>
      </c>
      <c r="F295" s="16">
        <f>IF(A295="","",IF(Calculator!$B$16=1,Calculator!$B$27,A295)*Calculator!$B$5*Calculator!$B$15)</f>
        <v/>
      </c>
      <c r="G295" s="16">
        <f>IF(A295="","",E295*Calculator!$B$6+Calculator!$C$37+F295+Calculator!$B$30)</f>
        <v/>
      </c>
      <c r="H295" s="16">
        <f>IF(A295="","",Calculator!$B$40-G295)</f>
        <v/>
      </c>
      <c r="I295" s="17">
        <f>IF(A295="","",A295*Calculator!$B$5*Calculator!$B$8/3600)</f>
        <v/>
      </c>
      <c r="J295" s="12">
        <f>IF(A295="","",Calculator!$B$35-E295)</f>
        <v/>
      </c>
    </row>
    <row r="296">
      <c r="A296" s="15">
        <f>IF(294/1000&lt;=Calculator!$B$27+0.0000001,294/1000,"")</f>
        <v/>
      </c>
      <c r="B296" s="15">
        <f>IF(A296="","",A296/Calculator!$B$27)</f>
        <v/>
      </c>
      <c r="C296" s="15">
        <f>IF(A296="","",Calculator!$B$27-A296)</f>
        <v/>
      </c>
      <c r="D296" s="17">
        <f>IF(A296="","",(Calculator!$B$11+C296)*Calculator!$B$5)</f>
        <v/>
      </c>
      <c r="E296" s="12">
        <f>IF(A296="","",IF(Calculator!$B$17=1,ROUNDUP(D296*Calculator!$B$8/3600/Calculator!$B$24-0.000000001,0),D296*Calculator!$B$8/3600/Calculator!$B$24))</f>
        <v/>
      </c>
      <c r="F296" s="16">
        <f>IF(A296="","",IF(Calculator!$B$16=1,Calculator!$B$27,A296)*Calculator!$B$5*Calculator!$B$15)</f>
        <v/>
      </c>
      <c r="G296" s="16">
        <f>IF(A296="","",E296*Calculator!$B$6+Calculator!$C$37+F296+Calculator!$B$30)</f>
        <v/>
      </c>
      <c r="H296" s="16">
        <f>IF(A296="","",Calculator!$B$40-G296)</f>
        <v/>
      </c>
      <c r="I296" s="17">
        <f>IF(A296="","",A296*Calculator!$B$5*Calculator!$B$8/3600)</f>
        <v/>
      </c>
      <c r="J296" s="12">
        <f>IF(A296="","",Calculator!$B$35-E296)</f>
        <v/>
      </c>
    </row>
    <row r="297">
      <c r="A297" s="15">
        <f>IF(295/1000&lt;=Calculator!$B$27+0.0000001,295/1000,"")</f>
        <v/>
      </c>
      <c r="B297" s="15">
        <f>IF(A297="","",A297/Calculator!$B$27)</f>
        <v/>
      </c>
      <c r="C297" s="15">
        <f>IF(A297="","",Calculator!$B$27-A297)</f>
        <v/>
      </c>
      <c r="D297" s="17">
        <f>IF(A297="","",(Calculator!$B$11+C297)*Calculator!$B$5)</f>
        <v/>
      </c>
      <c r="E297" s="12">
        <f>IF(A297="","",IF(Calculator!$B$17=1,ROUNDUP(D297*Calculator!$B$8/3600/Calculator!$B$24-0.000000001,0),D297*Calculator!$B$8/3600/Calculator!$B$24))</f>
        <v/>
      </c>
      <c r="F297" s="16">
        <f>IF(A297="","",IF(Calculator!$B$16=1,Calculator!$B$27,A297)*Calculator!$B$5*Calculator!$B$15)</f>
        <v/>
      </c>
      <c r="G297" s="16">
        <f>IF(A297="","",E297*Calculator!$B$6+Calculator!$C$37+F297+Calculator!$B$30)</f>
        <v/>
      </c>
      <c r="H297" s="16">
        <f>IF(A297="","",Calculator!$B$40-G297)</f>
        <v/>
      </c>
      <c r="I297" s="17">
        <f>IF(A297="","",A297*Calculator!$B$5*Calculator!$B$8/3600)</f>
        <v/>
      </c>
      <c r="J297" s="12">
        <f>IF(A297="","",Calculator!$B$35-E297)</f>
        <v/>
      </c>
    </row>
    <row r="298">
      <c r="A298" s="15">
        <f>IF(296/1000&lt;=Calculator!$B$27+0.0000001,296/1000,"")</f>
        <v/>
      </c>
      <c r="B298" s="15">
        <f>IF(A298="","",A298/Calculator!$B$27)</f>
        <v/>
      </c>
      <c r="C298" s="15">
        <f>IF(A298="","",Calculator!$B$27-A298)</f>
        <v/>
      </c>
      <c r="D298" s="17">
        <f>IF(A298="","",(Calculator!$B$11+C298)*Calculator!$B$5)</f>
        <v/>
      </c>
      <c r="E298" s="12">
        <f>IF(A298="","",IF(Calculator!$B$17=1,ROUNDUP(D298*Calculator!$B$8/3600/Calculator!$B$24-0.000000001,0),D298*Calculator!$B$8/3600/Calculator!$B$24))</f>
        <v/>
      </c>
      <c r="F298" s="16">
        <f>IF(A298="","",IF(Calculator!$B$16=1,Calculator!$B$27,A298)*Calculator!$B$5*Calculator!$B$15)</f>
        <v/>
      </c>
      <c r="G298" s="16">
        <f>IF(A298="","",E298*Calculator!$B$6+Calculator!$C$37+F298+Calculator!$B$30)</f>
        <v/>
      </c>
      <c r="H298" s="16">
        <f>IF(A298="","",Calculator!$B$40-G298)</f>
        <v/>
      </c>
      <c r="I298" s="17">
        <f>IF(A298="","",A298*Calculator!$B$5*Calculator!$B$8/3600)</f>
        <v/>
      </c>
      <c r="J298" s="12">
        <f>IF(A298="","",Calculator!$B$35-E298)</f>
        <v/>
      </c>
    </row>
    <row r="299">
      <c r="A299" s="15">
        <f>IF(297/1000&lt;=Calculator!$B$27+0.0000001,297/1000,"")</f>
        <v/>
      </c>
      <c r="B299" s="15">
        <f>IF(A299="","",A299/Calculator!$B$27)</f>
        <v/>
      </c>
      <c r="C299" s="15">
        <f>IF(A299="","",Calculator!$B$27-A299)</f>
        <v/>
      </c>
      <c r="D299" s="17">
        <f>IF(A299="","",(Calculator!$B$11+C299)*Calculator!$B$5)</f>
        <v/>
      </c>
      <c r="E299" s="12">
        <f>IF(A299="","",IF(Calculator!$B$17=1,ROUNDUP(D299*Calculator!$B$8/3600/Calculator!$B$24-0.000000001,0),D299*Calculator!$B$8/3600/Calculator!$B$24))</f>
        <v/>
      </c>
      <c r="F299" s="16">
        <f>IF(A299="","",IF(Calculator!$B$16=1,Calculator!$B$27,A299)*Calculator!$B$5*Calculator!$B$15)</f>
        <v/>
      </c>
      <c r="G299" s="16">
        <f>IF(A299="","",E299*Calculator!$B$6+Calculator!$C$37+F299+Calculator!$B$30)</f>
        <v/>
      </c>
      <c r="H299" s="16">
        <f>IF(A299="","",Calculator!$B$40-G299)</f>
        <v/>
      </c>
      <c r="I299" s="17">
        <f>IF(A299="","",A299*Calculator!$B$5*Calculator!$B$8/3600)</f>
        <v/>
      </c>
      <c r="J299" s="12">
        <f>IF(A299="","",Calculator!$B$35-E299)</f>
        <v/>
      </c>
    </row>
    <row r="300">
      <c r="A300" s="15">
        <f>IF(298/1000&lt;=Calculator!$B$27+0.0000001,298/1000,"")</f>
        <v/>
      </c>
      <c r="B300" s="15">
        <f>IF(A300="","",A300/Calculator!$B$27)</f>
        <v/>
      </c>
      <c r="C300" s="15">
        <f>IF(A300="","",Calculator!$B$27-A300)</f>
        <v/>
      </c>
      <c r="D300" s="17">
        <f>IF(A300="","",(Calculator!$B$11+C300)*Calculator!$B$5)</f>
        <v/>
      </c>
      <c r="E300" s="12">
        <f>IF(A300="","",IF(Calculator!$B$17=1,ROUNDUP(D300*Calculator!$B$8/3600/Calculator!$B$24-0.000000001,0),D300*Calculator!$B$8/3600/Calculator!$B$24))</f>
        <v/>
      </c>
      <c r="F300" s="16">
        <f>IF(A300="","",IF(Calculator!$B$16=1,Calculator!$B$27,A300)*Calculator!$B$5*Calculator!$B$15)</f>
        <v/>
      </c>
      <c r="G300" s="16">
        <f>IF(A300="","",E300*Calculator!$B$6+Calculator!$C$37+F300+Calculator!$B$30)</f>
        <v/>
      </c>
      <c r="H300" s="16">
        <f>IF(A300="","",Calculator!$B$40-G300)</f>
        <v/>
      </c>
      <c r="I300" s="17">
        <f>IF(A300="","",A300*Calculator!$B$5*Calculator!$B$8/3600)</f>
        <v/>
      </c>
      <c r="J300" s="12">
        <f>IF(A300="","",Calculator!$B$35-E300)</f>
        <v/>
      </c>
    </row>
    <row r="301">
      <c r="A301" s="15">
        <f>IF(299/1000&lt;=Calculator!$B$27+0.0000001,299/1000,"")</f>
        <v/>
      </c>
      <c r="B301" s="15">
        <f>IF(A301="","",A301/Calculator!$B$27)</f>
        <v/>
      </c>
      <c r="C301" s="15">
        <f>IF(A301="","",Calculator!$B$27-A301)</f>
        <v/>
      </c>
      <c r="D301" s="17">
        <f>IF(A301="","",(Calculator!$B$11+C301)*Calculator!$B$5)</f>
        <v/>
      </c>
      <c r="E301" s="12">
        <f>IF(A301="","",IF(Calculator!$B$17=1,ROUNDUP(D301*Calculator!$B$8/3600/Calculator!$B$24-0.000000001,0),D301*Calculator!$B$8/3600/Calculator!$B$24))</f>
        <v/>
      </c>
      <c r="F301" s="16">
        <f>IF(A301="","",IF(Calculator!$B$16=1,Calculator!$B$27,A301)*Calculator!$B$5*Calculator!$B$15)</f>
        <v/>
      </c>
      <c r="G301" s="16">
        <f>IF(A301="","",E301*Calculator!$B$6+Calculator!$C$37+F301+Calculator!$B$30)</f>
        <v/>
      </c>
      <c r="H301" s="16">
        <f>IF(A301="","",Calculator!$B$40-G301)</f>
        <v/>
      </c>
      <c r="I301" s="17">
        <f>IF(A301="","",A301*Calculator!$B$5*Calculator!$B$8/3600)</f>
        <v/>
      </c>
      <c r="J301" s="12">
        <f>IF(A301="","",Calculator!$B$35-E301)</f>
        <v/>
      </c>
    </row>
    <row r="302">
      <c r="A302" s="15">
        <f>IF(300/1000&lt;=Calculator!$B$27+0.0000001,300/1000,"")</f>
        <v/>
      </c>
      <c r="B302" s="15">
        <f>IF(A302="","",A302/Calculator!$B$27)</f>
        <v/>
      </c>
      <c r="C302" s="15">
        <f>IF(A302="","",Calculator!$B$27-A302)</f>
        <v/>
      </c>
      <c r="D302" s="17">
        <f>IF(A302="","",(Calculator!$B$11+C302)*Calculator!$B$5)</f>
        <v/>
      </c>
      <c r="E302" s="12">
        <f>IF(A302="","",IF(Calculator!$B$17=1,ROUNDUP(D302*Calculator!$B$8/3600/Calculator!$B$24-0.000000001,0),D302*Calculator!$B$8/3600/Calculator!$B$24))</f>
        <v/>
      </c>
      <c r="F302" s="16">
        <f>IF(A302="","",IF(Calculator!$B$16=1,Calculator!$B$27,A302)*Calculator!$B$5*Calculator!$B$15)</f>
        <v/>
      </c>
      <c r="G302" s="16">
        <f>IF(A302="","",E302*Calculator!$B$6+Calculator!$C$37+F302+Calculator!$B$30)</f>
        <v/>
      </c>
      <c r="H302" s="16">
        <f>IF(A302="","",Calculator!$B$40-G302)</f>
        <v/>
      </c>
      <c r="I302" s="17">
        <f>IF(A302="","",A302*Calculator!$B$5*Calculator!$B$8/3600)</f>
        <v/>
      </c>
      <c r="J302" s="12">
        <f>IF(A302="","",Calculator!$B$35-E302)</f>
        <v/>
      </c>
    </row>
    <row r="303">
      <c r="A303" s="15">
        <f>IF(301/1000&lt;=Calculator!$B$27+0.0000001,301/1000,"")</f>
        <v/>
      </c>
      <c r="B303" s="15">
        <f>IF(A303="","",A303/Calculator!$B$27)</f>
        <v/>
      </c>
      <c r="C303" s="15">
        <f>IF(A303="","",Calculator!$B$27-A303)</f>
        <v/>
      </c>
      <c r="D303" s="17">
        <f>IF(A303="","",(Calculator!$B$11+C303)*Calculator!$B$5)</f>
        <v/>
      </c>
      <c r="E303" s="12">
        <f>IF(A303="","",IF(Calculator!$B$17=1,ROUNDUP(D303*Calculator!$B$8/3600/Calculator!$B$24-0.000000001,0),D303*Calculator!$B$8/3600/Calculator!$B$24))</f>
        <v/>
      </c>
      <c r="F303" s="16">
        <f>IF(A303="","",IF(Calculator!$B$16=1,Calculator!$B$27,A303)*Calculator!$B$5*Calculator!$B$15)</f>
        <v/>
      </c>
      <c r="G303" s="16">
        <f>IF(A303="","",E303*Calculator!$B$6+Calculator!$C$37+F303+Calculator!$B$30)</f>
        <v/>
      </c>
      <c r="H303" s="16">
        <f>IF(A303="","",Calculator!$B$40-G303)</f>
        <v/>
      </c>
      <c r="I303" s="17">
        <f>IF(A303="","",A303*Calculator!$B$5*Calculator!$B$8/3600)</f>
        <v/>
      </c>
      <c r="J303" s="12">
        <f>IF(A303="","",Calculator!$B$35-E303)</f>
        <v/>
      </c>
    </row>
    <row r="304">
      <c r="A304" s="15">
        <f>IF(302/1000&lt;=Calculator!$B$27+0.0000001,302/1000,"")</f>
        <v/>
      </c>
      <c r="B304" s="15">
        <f>IF(A304="","",A304/Calculator!$B$27)</f>
        <v/>
      </c>
      <c r="C304" s="15">
        <f>IF(A304="","",Calculator!$B$27-A304)</f>
        <v/>
      </c>
      <c r="D304" s="17">
        <f>IF(A304="","",(Calculator!$B$11+C304)*Calculator!$B$5)</f>
        <v/>
      </c>
      <c r="E304" s="12">
        <f>IF(A304="","",IF(Calculator!$B$17=1,ROUNDUP(D304*Calculator!$B$8/3600/Calculator!$B$24-0.000000001,0),D304*Calculator!$B$8/3600/Calculator!$B$24))</f>
        <v/>
      </c>
      <c r="F304" s="16">
        <f>IF(A304="","",IF(Calculator!$B$16=1,Calculator!$B$27,A304)*Calculator!$B$5*Calculator!$B$15)</f>
        <v/>
      </c>
      <c r="G304" s="16">
        <f>IF(A304="","",E304*Calculator!$B$6+Calculator!$C$37+F304+Calculator!$B$30)</f>
        <v/>
      </c>
      <c r="H304" s="16">
        <f>IF(A304="","",Calculator!$B$40-G304)</f>
        <v/>
      </c>
      <c r="I304" s="17">
        <f>IF(A304="","",A304*Calculator!$B$5*Calculator!$B$8/3600)</f>
        <v/>
      </c>
      <c r="J304" s="12">
        <f>IF(A304="","",Calculator!$B$35-E304)</f>
        <v/>
      </c>
    </row>
    <row r="305">
      <c r="A305" s="15">
        <f>IF(303/1000&lt;=Calculator!$B$27+0.0000001,303/1000,"")</f>
        <v/>
      </c>
      <c r="B305" s="15">
        <f>IF(A305="","",A305/Calculator!$B$27)</f>
        <v/>
      </c>
      <c r="C305" s="15">
        <f>IF(A305="","",Calculator!$B$27-A305)</f>
        <v/>
      </c>
      <c r="D305" s="17">
        <f>IF(A305="","",(Calculator!$B$11+C305)*Calculator!$B$5)</f>
        <v/>
      </c>
      <c r="E305" s="12">
        <f>IF(A305="","",IF(Calculator!$B$17=1,ROUNDUP(D305*Calculator!$B$8/3600/Calculator!$B$24-0.000000001,0),D305*Calculator!$B$8/3600/Calculator!$B$24))</f>
        <v/>
      </c>
      <c r="F305" s="16">
        <f>IF(A305="","",IF(Calculator!$B$16=1,Calculator!$B$27,A305)*Calculator!$B$5*Calculator!$B$15)</f>
        <v/>
      </c>
      <c r="G305" s="16">
        <f>IF(A305="","",E305*Calculator!$B$6+Calculator!$C$37+F305+Calculator!$B$30)</f>
        <v/>
      </c>
      <c r="H305" s="16">
        <f>IF(A305="","",Calculator!$B$40-G305)</f>
        <v/>
      </c>
      <c r="I305" s="17">
        <f>IF(A305="","",A305*Calculator!$B$5*Calculator!$B$8/3600)</f>
        <v/>
      </c>
      <c r="J305" s="12">
        <f>IF(A305="","",Calculator!$B$35-E305)</f>
        <v/>
      </c>
    </row>
    <row r="306">
      <c r="A306" s="15">
        <f>IF(304/1000&lt;=Calculator!$B$27+0.0000001,304/1000,"")</f>
        <v/>
      </c>
      <c r="B306" s="15">
        <f>IF(A306="","",A306/Calculator!$B$27)</f>
        <v/>
      </c>
      <c r="C306" s="15">
        <f>IF(A306="","",Calculator!$B$27-A306)</f>
        <v/>
      </c>
      <c r="D306" s="17">
        <f>IF(A306="","",(Calculator!$B$11+C306)*Calculator!$B$5)</f>
        <v/>
      </c>
      <c r="E306" s="12">
        <f>IF(A306="","",IF(Calculator!$B$17=1,ROUNDUP(D306*Calculator!$B$8/3600/Calculator!$B$24-0.000000001,0),D306*Calculator!$B$8/3600/Calculator!$B$24))</f>
        <v/>
      </c>
      <c r="F306" s="16">
        <f>IF(A306="","",IF(Calculator!$B$16=1,Calculator!$B$27,A306)*Calculator!$B$5*Calculator!$B$15)</f>
        <v/>
      </c>
      <c r="G306" s="16">
        <f>IF(A306="","",E306*Calculator!$B$6+Calculator!$C$37+F306+Calculator!$B$30)</f>
        <v/>
      </c>
      <c r="H306" s="16">
        <f>IF(A306="","",Calculator!$B$40-G306)</f>
        <v/>
      </c>
      <c r="I306" s="17">
        <f>IF(A306="","",A306*Calculator!$B$5*Calculator!$B$8/3600)</f>
        <v/>
      </c>
      <c r="J306" s="12">
        <f>IF(A306="","",Calculator!$B$35-E306)</f>
        <v/>
      </c>
    </row>
    <row r="307">
      <c r="A307" s="15">
        <f>IF(305/1000&lt;=Calculator!$B$27+0.0000001,305/1000,"")</f>
        <v/>
      </c>
      <c r="B307" s="15">
        <f>IF(A307="","",A307/Calculator!$B$27)</f>
        <v/>
      </c>
      <c r="C307" s="15">
        <f>IF(A307="","",Calculator!$B$27-A307)</f>
        <v/>
      </c>
      <c r="D307" s="17">
        <f>IF(A307="","",(Calculator!$B$11+C307)*Calculator!$B$5)</f>
        <v/>
      </c>
      <c r="E307" s="12">
        <f>IF(A307="","",IF(Calculator!$B$17=1,ROUNDUP(D307*Calculator!$B$8/3600/Calculator!$B$24-0.000000001,0),D307*Calculator!$B$8/3600/Calculator!$B$24))</f>
        <v/>
      </c>
      <c r="F307" s="16">
        <f>IF(A307="","",IF(Calculator!$B$16=1,Calculator!$B$27,A307)*Calculator!$B$5*Calculator!$B$15)</f>
        <v/>
      </c>
      <c r="G307" s="16">
        <f>IF(A307="","",E307*Calculator!$B$6+Calculator!$C$37+F307+Calculator!$B$30)</f>
        <v/>
      </c>
      <c r="H307" s="16">
        <f>IF(A307="","",Calculator!$B$40-G307)</f>
        <v/>
      </c>
      <c r="I307" s="17">
        <f>IF(A307="","",A307*Calculator!$B$5*Calculator!$B$8/3600)</f>
        <v/>
      </c>
      <c r="J307" s="12">
        <f>IF(A307="","",Calculator!$B$35-E307)</f>
        <v/>
      </c>
    </row>
    <row r="308">
      <c r="A308" s="15">
        <f>IF(306/1000&lt;=Calculator!$B$27+0.0000001,306/1000,"")</f>
        <v/>
      </c>
      <c r="B308" s="15">
        <f>IF(A308="","",A308/Calculator!$B$27)</f>
        <v/>
      </c>
      <c r="C308" s="15">
        <f>IF(A308="","",Calculator!$B$27-A308)</f>
        <v/>
      </c>
      <c r="D308" s="17">
        <f>IF(A308="","",(Calculator!$B$11+C308)*Calculator!$B$5)</f>
        <v/>
      </c>
      <c r="E308" s="12">
        <f>IF(A308="","",IF(Calculator!$B$17=1,ROUNDUP(D308*Calculator!$B$8/3600/Calculator!$B$24-0.000000001,0),D308*Calculator!$B$8/3600/Calculator!$B$24))</f>
        <v/>
      </c>
      <c r="F308" s="16">
        <f>IF(A308="","",IF(Calculator!$B$16=1,Calculator!$B$27,A308)*Calculator!$B$5*Calculator!$B$15)</f>
        <v/>
      </c>
      <c r="G308" s="16">
        <f>IF(A308="","",E308*Calculator!$B$6+Calculator!$C$37+F308+Calculator!$B$30)</f>
        <v/>
      </c>
      <c r="H308" s="16">
        <f>IF(A308="","",Calculator!$B$40-G308)</f>
        <v/>
      </c>
      <c r="I308" s="17">
        <f>IF(A308="","",A308*Calculator!$B$5*Calculator!$B$8/3600)</f>
        <v/>
      </c>
      <c r="J308" s="12">
        <f>IF(A308="","",Calculator!$B$35-E308)</f>
        <v/>
      </c>
    </row>
    <row r="309">
      <c r="A309" s="15">
        <f>IF(307/1000&lt;=Calculator!$B$27+0.0000001,307/1000,"")</f>
        <v/>
      </c>
      <c r="B309" s="15">
        <f>IF(A309="","",A309/Calculator!$B$27)</f>
        <v/>
      </c>
      <c r="C309" s="15">
        <f>IF(A309="","",Calculator!$B$27-A309)</f>
        <v/>
      </c>
      <c r="D309" s="17">
        <f>IF(A309="","",(Calculator!$B$11+C309)*Calculator!$B$5)</f>
        <v/>
      </c>
      <c r="E309" s="12">
        <f>IF(A309="","",IF(Calculator!$B$17=1,ROUNDUP(D309*Calculator!$B$8/3600/Calculator!$B$24-0.000000001,0),D309*Calculator!$B$8/3600/Calculator!$B$24))</f>
        <v/>
      </c>
      <c r="F309" s="16">
        <f>IF(A309="","",IF(Calculator!$B$16=1,Calculator!$B$27,A309)*Calculator!$B$5*Calculator!$B$15)</f>
        <v/>
      </c>
      <c r="G309" s="16">
        <f>IF(A309="","",E309*Calculator!$B$6+Calculator!$C$37+F309+Calculator!$B$30)</f>
        <v/>
      </c>
      <c r="H309" s="16">
        <f>IF(A309="","",Calculator!$B$40-G309)</f>
        <v/>
      </c>
      <c r="I309" s="17">
        <f>IF(A309="","",A309*Calculator!$B$5*Calculator!$B$8/3600)</f>
        <v/>
      </c>
      <c r="J309" s="12">
        <f>IF(A309="","",Calculator!$B$35-E309)</f>
        <v/>
      </c>
    </row>
    <row r="310">
      <c r="A310" s="15">
        <f>IF(308/1000&lt;=Calculator!$B$27+0.0000001,308/1000,"")</f>
        <v/>
      </c>
      <c r="B310" s="15">
        <f>IF(A310="","",A310/Calculator!$B$27)</f>
        <v/>
      </c>
      <c r="C310" s="15">
        <f>IF(A310="","",Calculator!$B$27-A310)</f>
        <v/>
      </c>
      <c r="D310" s="17">
        <f>IF(A310="","",(Calculator!$B$11+C310)*Calculator!$B$5)</f>
        <v/>
      </c>
      <c r="E310" s="12">
        <f>IF(A310="","",IF(Calculator!$B$17=1,ROUNDUP(D310*Calculator!$B$8/3600/Calculator!$B$24-0.000000001,0),D310*Calculator!$B$8/3600/Calculator!$B$24))</f>
        <v/>
      </c>
      <c r="F310" s="16">
        <f>IF(A310="","",IF(Calculator!$B$16=1,Calculator!$B$27,A310)*Calculator!$B$5*Calculator!$B$15)</f>
        <v/>
      </c>
      <c r="G310" s="16">
        <f>IF(A310="","",E310*Calculator!$B$6+Calculator!$C$37+F310+Calculator!$B$30)</f>
        <v/>
      </c>
      <c r="H310" s="16">
        <f>IF(A310="","",Calculator!$B$40-G310)</f>
        <v/>
      </c>
      <c r="I310" s="17">
        <f>IF(A310="","",A310*Calculator!$B$5*Calculator!$B$8/3600)</f>
        <v/>
      </c>
      <c r="J310" s="12">
        <f>IF(A310="","",Calculator!$B$35-E310)</f>
        <v/>
      </c>
    </row>
    <row r="311">
      <c r="A311" s="15">
        <f>IF(309/1000&lt;=Calculator!$B$27+0.0000001,309/1000,"")</f>
        <v/>
      </c>
      <c r="B311" s="15">
        <f>IF(A311="","",A311/Calculator!$B$27)</f>
        <v/>
      </c>
      <c r="C311" s="15">
        <f>IF(A311="","",Calculator!$B$27-A311)</f>
        <v/>
      </c>
      <c r="D311" s="17">
        <f>IF(A311="","",(Calculator!$B$11+C311)*Calculator!$B$5)</f>
        <v/>
      </c>
      <c r="E311" s="12">
        <f>IF(A311="","",IF(Calculator!$B$17=1,ROUNDUP(D311*Calculator!$B$8/3600/Calculator!$B$24-0.000000001,0),D311*Calculator!$B$8/3600/Calculator!$B$24))</f>
        <v/>
      </c>
      <c r="F311" s="16">
        <f>IF(A311="","",IF(Calculator!$B$16=1,Calculator!$B$27,A311)*Calculator!$B$5*Calculator!$B$15)</f>
        <v/>
      </c>
      <c r="G311" s="16">
        <f>IF(A311="","",E311*Calculator!$B$6+Calculator!$C$37+F311+Calculator!$B$30)</f>
        <v/>
      </c>
      <c r="H311" s="16">
        <f>IF(A311="","",Calculator!$B$40-G311)</f>
        <v/>
      </c>
      <c r="I311" s="17">
        <f>IF(A311="","",A311*Calculator!$B$5*Calculator!$B$8/3600)</f>
        <v/>
      </c>
      <c r="J311" s="12">
        <f>IF(A311="","",Calculator!$B$35-E311)</f>
        <v/>
      </c>
    </row>
    <row r="312">
      <c r="A312" s="15">
        <f>IF(310/1000&lt;=Calculator!$B$27+0.0000001,310/1000,"")</f>
        <v/>
      </c>
      <c r="B312" s="15">
        <f>IF(A312="","",A312/Calculator!$B$27)</f>
        <v/>
      </c>
      <c r="C312" s="15">
        <f>IF(A312="","",Calculator!$B$27-A312)</f>
        <v/>
      </c>
      <c r="D312" s="17">
        <f>IF(A312="","",(Calculator!$B$11+C312)*Calculator!$B$5)</f>
        <v/>
      </c>
      <c r="E312" s="12">
        <f>IF(A312="","",IF(Calculator!$B$17=1,ROUNDUP(D312*Calculator!$B$8/3600/Calculator!$B$24-0.000000001,0),D312*Calculator!$B$8/3600/Calculator!$B$24))</f>
        <v/>
      </c>
      <c r="F312" s="16">
        <f>IF(A312="","",IF(Calculator!$B$16=1,Calculator!$B$27,A312)*Calculator!$B$5*Calculator!$B$15)</f>
        <v/>
      </c>
      <c r="G312" s="16">
        <f>IF(A312="","",E312*Calculator!$B$6+Calculator!$C$37+F312+Calculator!$B$30)</f>
        <v/>
      </c>
      <c r="H312" s="16">
        <f>IF(A312="","",Calculator!$B$40-G312)</f>
        <v/>
      </c>
      <c r="I312" s="17">
        <f>IF(A312="","",A312*Calculator!$B$5*Calculator!$B$8/3600)</f>
        <v/>
      </c>
      <c r="J312" s="12">
        <f>IF(A312="","",Calculator!$B$35-E312)</f>
        <v/>
      </c>
    </row>
    <row r="313">
      <c r="A313" s="15">
        <f>IF(311/1000&lt;=Calculator!$B$27+0.0000001,311/1000,"")</f>
        <v/>
      </c>
      <c r="B313" s="15">
        <f>IF(A313="","",A313/Calculator!$B$27)</f>
        <v/>
      </c>
      <c r="C313" s="15">
        <f>IF(A313="","",Calculator!$B$27-A313)</f>
        <v/>
      </c>
      <c r="D313" s="17">
        <f>IF(A313="","",(Calculator!$B$11+C313)*Calculator!$B$5)</f>
        <v/>
      </c>
      <c r="E313" s="12">
        <f>IF(A313="","",IF(Calculator!$B$17=1,ROUNDUP(D313*Calculator!$B$8/3600/Calculator!$B$24-0.000000001,0),D313*Calculator!$B$8/3600/Calculator!$B$24))</f>
        <v/>
      </c>
      <c r="F313" s="16">
        <f>IF(A313="","",IF(Calculator!$B$16=1,Calculator!$B$27,A313)*Calculator!$B$5*Calculator!$B$15)</f>
        <v/>
      </c>
      <c r="G313" s="16">
        <f>IF(A313="","",E313*Calculator!$B$6+Calculator!$C$37+F313+Calculator!$B$30)</f>
        <v/>
      </c>
      <c r="H313" s="16">
        <f>IF(A313="","",Calculator!$B$40-G313)</f>
        <v/>
      </c>
      <c r="I313" s="17">
        <f>IF(A313="","",A313*Calculator!$B$5*Calculator!$B$8/3600)</f>
        <v/>
      </c>
      <c r="J313" s="12">
        <f>IF(A313="","",Calculator!$B$35-E313)</f>
        <v/>
      </c>
    </row>
    <row r="314">
      <c r="A314" s="15">
        <f>IF(312/1000&lt;=Calculator!$B$27+0.0000001,312/1000,"")</f>
        <v/>
      </c>
      <c r="B314" s="15">
        <f>IF(A314="","",A314/Calculator!$B$27)</f>
        <v/>
      </c>
      <c r="C314" s="15">
        <f>IF(A314="","",Calculator!$B$27-A314)</f>
        <v/>
      </c>
      <c r="D314" s="17">
        <f>IF(A314="","",(Calculator!$B$11+C314)*Calculator!$B$5)</f>
        <v/>
      </c>
      <c r="E314" s="12">
        <f>IF(A314="","",IF(Calculator!$B$17=1,ROUNDUP(D314*Calculator!$B$8/3600/Calculator!$B$24-0.000000001,0),D314*Calculator!$B$8/3600/Calculator!$B$24))</f>
        <v/>
      </c>
      <c r="F314" s="16">
        <f>IF(A314="","",IF(Calculator!$B$16=1,Calculator!$B$27,A314)*Calculator!$B$5*Calculator!$B$15)</f>
        <v/>
      </c>
      <c r="G314" s="16">
        <f>IF(A314="","",E314*Calculator!$B$6+Calculator!$C$37+F314+Calculator!$B$30)</f>
        <v/>
      </c>
      <c r="H314" s="16">
        <f>IF(A314="","",Calculator!$B$40-G314)</f>
        <v/>
      </c>
      <c r="I314" s="17">
        <f>IF(A314="","",A314*Calculator!$B$5*Calculator!$B$8/3600)</f>
        <v/>
      </c>
      <c r="J314" s="12">
        <f>IF(A314="","",Calculator!$B$35-E314)</f>
        <v/>
      </c>
    </row>
    <row r="315">
      <c r="A315" s="15">
        <f>IF(313/1000&lt;=Calculator!$B$27+0.0000001,313/1000,"")</f>
        <v/>
      </c>
      <c r="B315" s="15">
        <f>IF(A315="","",A315/Calculator!$B$27)</f>
        <v/>
      </c>
      <c r="C315" s="15">
        <f>IF(A315="","",Calculator!$B$27-A315)</f>
        <v/>
      </c>
      <c r="D315" s="17">
        <f>IF(A315="","",(Calculator!$B$11+C315)*Calculator!$B$5)</f>
        <v/>
      </c>
      <c r="E315" s="12">
        <f>IF(A315="","",IF(Calculator!$B$17=1,ROUNDUP(D315*Calculator!$B$8/3600/Calculator!$B$24-0.000000001,0),D315*Calculator!$B$8/3600/Calculator!$B$24))</f>
        <v/>
      </c>
      <c r="F315" s="16">
        <f>IF(A315="","",IF(Calculator!$B$16=1,Calculator!$B$27,A315)*Calculator!$B$5*Calculator!$B$15)</f>
        <v/>
      </c>
      <c r="G315" s="16">
        <f>IF(A315="","",E315*Calculator!$B$6+Calculator!$C$37+F315+Calculator!$B$30)</f>
        <v/>
      </c>
      <c r="H315" s="16">
        <f>IF(A315="","",Calculator!$B$40-G315)</f>
        <v/>
      </c>
      <c r="I315" s="17">
        <f>IF(A315="","",A315*Calculator!$B$5*Calculator!$B$8/3600)</f>
        <v/>
      </c>
      <c r="J315" s="12">
        <f>IF(A315="","",Calculator!$B$35-E315)</f>
        <v/>
      </c>
    </row>
    <row r="316">
      <c r="A316" s="15">
        <f>IF(314/1000&lt;=Calculator!$B$27+0.0000001,314/1000,"")</f>
        <v/>
      </c>
      <c r="B316" s="15">
        <f>IF(A316="","",A316/Calculator!$B$27)</f>
        <v/>
      </c>
      <c r="C316" s="15">
        <f>IF(A316="","",Calculator!$B$27-A316)</f>
        <v/>
      </c>
      <c r="D316" s="17">
        <f>IF(A316="","",(Calculator!$B$11+C316)*Calculator!$B$5)</f>
        <v/>
      </c>
      <c r="E316" s="12">
        <f>IF(A316="","",IF(Calculator!$B$17=1,ROUNDUP(D316*Calculator!$B$8/3600/Calculator!$B$24-0.000000001,0),D316*Calculator!$B$8/3600/Calculator!$B$24))</f>
        <v/>
      </c>
      <c r="F316" s="16">
        <f>IF(A316="","",IF(Calculator!$B$16=1,Calculator!$B$27,A316)*Calculator!$B$5*Calculator!$B$15)</f>
        <v/>
      </c>
      <c r="G316" s="16">
        <f>IF(A316="","",E316*Calculator!$B$6+Calculator!$C$37+F316+Calculator!$B$30)</f>
        <v/>
      </c>
      <c r="H316" s="16">
        <f>IF(A316="","",Calculator!$B$40-G316)</f>
        <v/>
      </c>
      <c r="I316" s="17">
        <f>IF(A316="","",A316*Calculator!$B$5*Calculator!$B$8/3600)</f>
        <v/>
      </c>
      <c r="J316" s="12">
        <f>IF(A316="","",Calculator!$B$35-E316)</f>
        <v/>
      </c>
    </row>
    <row r="317">
      <c r="A317" s="15">
        <f>IF(315/1000&lt;=Calculator!$B$27+0.0000001,315/1000,"")</f>
        <v/>
      </c>
      <c r="B317" s="15">
        <f>IF(A317="","",A317/Calculator!$B$27)</f>
        <v/>
      </c>
      <c r="C317" s="15">
        <f>IF(A317="","",Calculator!$B$27-A317)</f>
        <v/>
      </c>
      <c r="D317" s="17">
        <f>IF(A317="","",(Calculator!$B$11+C317)*Calculator!$B$5)</f>
        <v/>
      </c>
      <c r="E317" s="12">
        <f>IF(A317="","",IF(Calculator!$B$17=1,ROUNDUP(D317*Calculator!$B$8/3600/Calculator!$B$24-0.000000001,0),D317*Calculator!$B$8/3600/Calculator!$B$24))</f>
        <v/>
      </c>
      <c r="F317" s="16">
        <f>IF(A317="","",IF(Calculator!$B$16=1,Calculator!$B$27,A317)*Calculator!$B$5*Calculator!$B$15)</f>
        <v/>
      </c>
      <c r="G317" s="16">
        <f>IF(A317="","",E317*Calculator!$B$6+Calculator!$C$37+F317+Calculator!$B$30)</f>
        <v/>
      </c>
      <c r="H317" s="16">
        <f>IF(A317="","",Calculator!$B$40-G317)</f>
        <v/>
      </c>
      <c r="I317" s="17">
        <f>IF(A317="","",A317*Calculator!$B$5*Calculator!$B$8/3600)</f>
        <v/>
      </c>
      <c r="J317" s="12">
        <f>IF(A317="","",Calculator!$B$35-E317)</f>
        <v/>
      </c>
    </row>
    <row r="318">
      <c r="A318" s="15">
        <f>IF(316/1000&lt;=Calculator!$B$27+0.0000001,316/1000,"")</f>
        <v/>
      </c>
      <c r="B318" s="15">
        <f>IF(A318="","",A318/Calculator!$B$27)</f>
        <v/>
      </c>
      <c r="C318" s="15">
        <f>IF(A318="","",Calculator!$B$27-A318)</f>
        <v/>
      </c>
      <c r="D318" s="17">
        <f>IF(A318="","",(Calculator!$B$11+C318)*Calculator!$B$5)</f>
        <v/>
      </c>
      <c r="E318" s="12">
        <f>IF(A318="","",IF(Calculator!$B$17=1,ROUNDUP(D318*Calculator!$B$8/3600/Calculator!$B$24-0.000000001,0),D318*Calculator!$B$8/3600/Calculator!$B$24))</f>
        <v/>
      </c>
      <c r="F318" s="16">
        <f>IF(A318="","",IF(Calculator!$B$16=1,Calculator!$B$27,A318)*Calculator!$B$5*Calculator!$B$15)</f>
        <v/>
      </c>
      <c r="G318" s="16">
        <f>IF(A318="","",E318*Calculator!$B$6+Calculator!$C$37+F318+Calculator!$B$30)</f>
        <v/>
      </c>
      <c r="H318" s="16">
        <f>IF(A318="","",Calculator!$B$40-G318)</f>
        <v/>
      </c>
      <c r="I318" s="17">
        <f>IF(A318="","",A318*Calculator!$B$5*Calculator!$B$8/3600)</f>
        <v/>
      </c>
      <c r="J318" s="12">
        <f>IF(A318="","",Calculator!$B$35-E318)</f>
        <v/>
      </c>
    </row>
    <row r="319">
      <c r="A319" s="15">
        <f>IF(317/1000&lt;=Calculator!$B$27+0.0000001,317/1000,"")</f>
        <v/>
      </c>
      <c r="B319" s="15">
        <f>IF(A319="","",A319/Calculator!$B$27)</f>
        <v/>
      </c>
      <c r="C319" s="15">
        <f>IF(A319="","",Calculator!$B$27-A319)</f>
        <v/>
      </c>
      <c r="D319" s="17">
        <f>IF(A319="","",(Calculator!$B$11+C319)*Calculator!$B$5)</f>
        <v/>
      </c>
      <c r="E319" s="12">
        <f>IF(A319="","",IF(Calculator!$B$17=1,ROUNDUP(D319*Calculator!$B$8/3600/Calculator!$B$24-0.000000001,0),D319*Calculator!$B$8/3600/Calculator!$B$24))</f>
        <v/>
      </c>
      <c r="F319" s="16">
        <f>IF(A319="","",IF(Calculator!$B$16=1,Calculator!$B$27,A319)*Calculator!$B$5*Calculator!$B$15)</f>
        <v/>
      </c>
      <c r="G319" s="16">
        <f>IF(A319="","",E319*Calculator!$B$6+Calculator!$C$37+F319+Calculator!$B$30)</f>
        <v/>
      </c>
      <c r="H319" s="16">
        <f>IF(A319="","",Calculator!$B$40-G319)</f>
        <v/>
      </c>
      <c r="I319" s="17">
        <f>IF(A319="","",A319*Calculator!$B$5*Calculator!$B$8/3600)</f>
        <v/>
      </c>
      <c r="J319" s="12">
        <f>IF(A319="","",Calculator!$B$35-E319)</f>
        <v/>
      </c>
    </row>
    <row r="320">
      <c r="A320" s="15">
        <f>IF(318/1000&lt;=Calculator!$B$27+0.0000001,318/1000,"")</f>
        <v/>
      </c>
      <c r="B320" s="15">
        <f>IF(A320="","",A320/Calculator!$B$27)</f>
        <v/>
      </c>
      <c r="C320" s="15">
        <f>IF(A320="","",Calculator!$B$27-A320)</f>
        <v/>
      </c>
      <c r="D320" s="17">
        <f>IF(A320="","",(Calculator!$B$11+C320)*Calculator!$B$5)</f>
        <v/>
      </c>
      <c r="E320" s="12">
        <f>IF(A320="","",IF(Calculator!$B$17=1,ROUNDUP(D320*Calculator!$B$8/3600/Calculator!$B$24-0.000000001,0),D320*Calculator!$B$8/3600/Calculator!$B$24))</f>
        <v/>
      </c>
      <c r="F320" s="16">
        <f>IF(A320="","",IF(Calculator!$B$16=1,Calculator!$B$27,A320)*Calculator!$B$5*Calculator!$B$15)</f>
        <v/>
      </c>
      <c r="G320" s="16">
        <f>IF(A320="","",E320*Calculator!$B$6+Calculator!$C$37+F320+Calculator!$B$30)</f>
        <v/>
      </c>
      <c r="H320" s="16">
        <f>IF(A320="","",Calculator!$B$40-G320)</f>
        <v/>
      </c>
      <c r="I320" s="17">
        <f>IF(A320="","",A320*Calculator!$B$5*Calculator!$B$8/3600)</f>
        <v/>
      </c>
      <c r="J320" s="12">
        <f>IF(A320="","",Calculator!$B$35-E320)</f>
        <v/>
      </c>
    </row>
    <row r="321">
      <c r="A321" s="15">
        <f>IF(319/1000&lt;=Calculator!$B$27+0.0000001,319/1000,"")</f>
        <v/>
      </c>
      <c r="B321" s="15">
        <f>IF(A321="","",A321/Calculator!$B$27)</f>
        <v/>
      </c>
      <c r="C321" s="15">
        <f>IF(A321="","",Calculator!$B$27-A321)</f>
        <v/>
      </c>
      <c r="D321" s="17">
        <f>IF(A321="","",(Calculator!$B$11+C321)*Calculator!$B$5)</f>
        <v/>
      </c>
      <c r="E321" s="12">
        <f>IF(A321="","",IF(Calculator!$B$17=1,ROUNDUP(D321*Calculator!$B$8/3600/Calculator!$B$24-0.000000001,0),D321*Calculator!$B$8/3600/Calculator!$B$24))</f>
        <v/>
      </c>
      <c r="F321" s="16">
        <f>IF(A321="","",IF(Calculator!$B$16=1,Calculator!$B$27,A321)*Calculator!$B$5*Calculator!$B$15)</f>
        <v/>
      </c>
      <c r="G321" s="16">
        <f>IF(A321="","",E321*Calculator!$B$6+Calculator!$C$37+F321+Calculator!$B$30)</f>
        <v/>
      </c>
      <c r="H321" s="16">
        <f>IF(A321="","",Calculator!$B$40-G321)</f>
        <v/>
      </c>
      <c r="I321" s="17">
        <f>IF(A321="","",A321*Calculator!$B$5*Calculator!$B$8/3600)</f>
        <v/>
      </c>
      <c r="J321" s="12">
        <f>IF(A321="","",Calculator!$B$35-E321)</f>
        <v/>
      </c>
    </row>
    <row r="322">
      <c r="A322" s="15">
        <f>IF(320/1000&lt;=Calculator!$B$27+0.0000001,320/1000,"")</f>
        <v/>
      </c>
      <c r="B322" s="15">
        <f>IF(A322="","",A322/Calculator!$B$27)</f>
        <v/>
      </c>
      <c r="C322" s="15">
        <f>IF(A322="","",Calculator!$B$27-A322)</f>
        <v/>
      </c>
      <c r="D322" s="17">
        <f>IF(A322="","",(Calculator!$B$11+C322)*Calculator!$B$5)</f>
        <v/>
      </c>
      <c r="E322" s="12">
        <f>IF(A322="","",IF(Calculator!$B$17=1,ROUNDUP(D322*Calculator!$B$8/3600/Calculator!$B$24-0.000000001,0),D322*Calculator!$B$8/3600/Calculator!$B$24))</f>
        <v/>
      </c>
      <c r="F322" s="16">
        <f>IF(A322="","",IF(Calculator!$B$16=1,Calculator!$B$27,A322)*Calculator!$B$5*Calculator!$B$15)</f>
        <v/>
      </c>
      <c r="G322" s="16">
        <f>IF(A322="","",E322*Calculator!$B$6+Calculator!$C$37+F322+Calculator!$B$30)</f>
        <v/>
      </c>
      <c r="H322" s="16">
        <f>IF(A322="","",Calculator!$B$40-G322)</f>
        <v/>
      </c>
      <c r="I322" s="17">
        <f>IF(A322="","",A322*Calculator!$B$5*Calculator!$B$8/3600)</f>
        <v/>
      </c>
      <c r="J322" s="12">
        <f>IF(A322="","",Calculator!$B$35-E322)</f>
        <v/>
      </c>
    </row>
    <row r="323">
      <c r="A323" s="15">
        <f>IF(321/1000&lt;=Calculator!$B$27+0.0000001,321/1000,"")</f>
        <v/>
      </c>
      <c r="B323" s="15">
        <f>IF(A323="","",A323/Calculator!$B$27)</f>
        <v/>
      </c>
      <c r="C323" s="15">
        <f>IF(A323="","",Calculator!$B$27-A323)</f>
        <v/>
      </c>
      <c r="D323" s="17">
        <f>IF(A323="","",(Calculator!$B$11+C323)*Calculator!$B$5)</f>
        <v/>
      </c>
      <c r="E323" s="12">
        <f>IF(A323="","",IF(Calculator!$B$17=1,ROUNDUP(D323*Calculator!$B$8/3600/Calculator!$B$24-0.000000001,0),D323*Calculator!$B$8/3600/Calculator!$B$24))</f>
        <v/>
      </c>
      <c r="F323" s="16">
        <f>IF(A323="","",IF(Calculator!$B$16=1,Calculator!$B$27,A323)*Calculator!$B$5*Calculator!$B$15)</f>
        <v/>
      </c>
      <c r="G323" s="16">
        <f>IF(A323="","",E323*Calculator!$B$6+Calculator!$C$37+F323+Calculator!$B$30)</f>
        <v/>
      </c>
      <c r="H323" s="16">
        <f>IF(A323="","",Calculator!$B$40-G323)</f>
        <v/>
      </c>
      <c r="I323" s="17">
        <f>IF(A323="","",A323*Calculator!$B$5*Calculator!$B$8/3600)</f>
        <v/>
      </c>
      <c r="J323" s="12">
        <f>IF(A323="","",Calculator!$B$35-E323)</f>
        <v/>
      </c>
    </row>
    <row r="324">
      <c r="A324" s="15">
        <f>IF(322/1000&lt;=Calculator!$B$27+0.0000001,322/1000,"")</f>
        <v/>
      </c>
      <c r="B324" s="15">
        <f>IF(A324="","",A324/Calculator!$B$27)</f>
        <v/>
      </c>
      <c r="C324" s="15">
        <f>IF(A324="","",Calculator!$B$27-A324)</f>
        <v/>
      </c>
      <c r="D324" s="17">
        <f>IF(A324="","",(Calculator!$B$11+C324)*Calculator!$B$5)</f>
        <v/>
      </c>
      <c r="E324" s="12">
        <f>IF(A324="","",IF(Calculator!$B$17=1,ROUNDUP(D324*Calculator!$B$8/3600/Calculator!$B$24-0.000000001,0),D324*Calculator!$B$8/3600/Calculator!$B$24))</f>
        <v/>
      </c>
      <c r="F324" s="16">
        <f>IF(A324="","",IF(Calculator!$B$16=1,Calculator!$B$27,A324)*Calculator!$B$5*Calculator!$B$15)</f>
        <v/>
      </c>
      <c r="G324" s="16">
        <f>IF(A324="","",E324*Calculator!$B$6+Calculator!$C$37+F324+Calculator!$B$30)</f>
        <v/>
      </c>
      <c r="H324" s="16">
        <f>IF(A324="","",Calculator!$B$40-G324)</f>
        <v/>
      </c>
      <c r="I324" s="17">
        <f>IF(A324="","",A324*Calculator!$B$5*Calculator!$B$8/3600)</f>
        <v/>
      </c>
      <c r="J324" s="12">
        <f>IF(A324="","",Calculator!$B$35-E324)</f>
        <v/>
      </c>
    </row>
    <row r="325">
      <c r="A325" s="15">
        <f>IF(323/1000&lt;=Calculator!$B$27+0.0000001,323/1000,"")</f>
        <v/>
      </c>
      <c r="B325" s="15">
        <f>IF(A325="","",A325/Calculator!$B$27)</f>
        <v/>
      </c>
      <c r="C325" s="15">
        <f>IF(A325="","",Calculator!$B$27-A325)</f>
        <v/>
      </c>
      <c r="D325" s="17">
        <f>IF(A325="","",(Calculator!$B$11+C325)*Calculator!$B$5)</f>
        <v/>
      </c>
      <c r="E325" s="12">
        <f>IF(A325="","",IF(Calculator!$B$17=1,ROUNDUP(D325*Calculator!$B$8/3600/Calculator!$B$24-0.000000001,0),D325*Calculator!$B$8/3600/Calculator!$B$24))</f>
        <v/>
      </c>
      <c r="F325" s="16">
        <f>IF(A325="","",IF(Calculator!$B$16=1,Calculator!$B$27,A325)*Calculator!$B$5*Calculator!$B$15)</f>
        <v/>
      </c>
      <c r="G325" s="16">
        <f>IF(A325="","",E325*Calculator!$B$6+Calculator!$C$37+F325+Calculator!$B$30)</f>
        <v/>
      </c>
      <c r="H325" s="16">
        <f>IF(A325="","",Calculator!$B$40-G325)</f>
        <v/>
      </c>
      <c r="I325" s="17">
        <f>IF(A325="","",A325*Calculator!$B$5*Calculator!$B$8/3600)</f>
        <v/>
      </c>
      <c r="J325" s="12">
        <f>IF(A325="","",Calculator!$B$35-E325)</f>
        <v/>
      </c>
    </row>
    <row r="326">
      <c r="A326" s="15">
        <f>IF(324/1000&lt;=Calculator!$B$27+0.0000001,324/1000,"")</f>
        <v/>
      </c>
      <c r="B326" s="15">
        <f>IF(A326="","",A326/Calculator!$B$27)</f>
        <v/>
      </c>
      <c r="C326" s="15">
        <f>IF(A326="","",Calculator!$B$27-A326)</f>
        <v/>
      </c>
      <c r="D326" s="17">
        <f>IF(A326="","",(Calculator!$B$11+C326)*Calculator!$B$5)</f>
        <v/>
      </c>
      <c r="E326" s="12">
        <f>IF(A326="","",IF(Calculator!$B$17=1,ROUNDUP(D326*Calculator!$B$8/3600/Calculator!$B$24-0.000000001,0),D326*Calculator!$B$8/3600/Calculator!$B$24))</f>
        <v/>
      </c>
      <c r="F326" s="16">
        <f>IF(A326="","",IF(Calculator!$B$16=1,Calculator!$B$27,A326)*Calculator!$B$5*Calculator!$B$15)</f>
        <v/>
      </c>
      <c r="G326" s="16">
        <f>IF(A326="","",E326*Calculator!$B$6+Calculator!$C$37+F326+Calculator!$B$30)</f>
        <v/>
      </c>
      <c r="H326" s="16">
        <f>IF(A326="","",Calculator!$B$40-G326)</f>
        <v/>
      </c>
      <c r="I326" s="17">
        <f>IF(A326="","",A326*Calculator!$B$5*Calculator!$B$8/3600)</f>
        <v/>
      </c>
      <c r="J326" s="12">
        <f>IF(A326="","",Calculator!$B$35-E326)</f>
        <v/>
      </c>
    </row>
    <row r="327">
      <c r="A327" s="15">
        <f>IF(325/1000&lt;=Calculator!$B$27+0.0000001,325/1000,"")</f>
        <v/>
      </c>
      <c r="B327" s="15">
        <f>IF(A327="","",A327/Calculator!$B$27)</f>
        <v/>
      </c>
      <c r="C327" s="15">
        <f>IF(A327="","",Calculator!$B$27-A327)</f>
        <v/>
      </c>
      <c r="D327" s="17">
        <f>IF(A327="","",(Calculator!$B$11+C327)*Calculator!$B$5)</f>
        <v/>
      </c>
      <c r="E327" s="12">
        <f>IF(A327="","",IF(Calculator!$B$17=1,ROUNDUP(D327*Calculator!$B$8/3600/Calculator!$B$24-0.000000001,0),D327*Calculator!$B$8/3600/Calculator!$B$24))</f>
        <v/>
      </c>
      <c r="F327" s="16">
        <f>IF(A327="","",IF(Calculator!$B$16=1,Calculator!$B$27,A327)*Calculator!$B$5*Calculator!$B$15)</f>
        <v/>
      </c>
      <c r="G327" s="16">
        <f>IF(A327="","",E327*Calculator!$B$6+Calculator!$C$37+F327+Calculator!$B$30)</f>
        <v/>
      </c>
      <c r="H327" s="16">
        <f>IF(A327="","",Calculator!$B$40-G327)</f>
        <v/>
      </c>
      <c r="I327" s="17">
        <f>IF(A327="","",A327*Calculator!$B$5*Calculator!$B$8/3600)</f>
        <v/>
      </c>
      <c r="J327" s="12">
        <f>IF(A327="","",Calculator!$B$35-E327)</f>
        <v/>
      </c>
    </row>
    <row r="328">
      <c r="A328" s="15">
        <f>IF(326/1000&lt;=Calculator!$B$27+0.0000001,326/1000,"")</f>
        <v/>
      </c>
      <c r="B328" s="15">
        <f>IF(A328="","",A328/Calculator!$B$27)</f>
        <v/>
      </c>
      <c r="C328" s="15">
        <f>IF(A328="","",Calculator!$B$27-A328)</f>
        <v/>
      </c>
      <c r="D328" s="17">
        <f>IF(A328="","",(Calculator!$B$11+C328)*Calculator!$B$5)</f>
        <v/>
      </c>
      <c r="E328" s="12">
        <f>IF(A328="","",IF(Calculator!$B$17=1,ROUNDUP(D328*Calculator!$B$8/3600/Calculator!$B$24-0.000000001,0),D328*Calculator!$B$8/3600/Calculator!$B$24))</f>
        <v/>
      </c>
      <c r="F328" s="16">
        <f>IF(A328="","",IF(Calculator!$B$16=1,Calculator!$B$27,A328)*Calculator!$B$5*Calculator!$B$15)</f>
        <v/>
      </c>
      <c r="G328" s="16">
        <f>IF(A328="","",E328*Calculator!$B$6+Calculator!$C$37+F328+Calculator!$B$30)</f>
        <v/>
      </c>
      <c r="H328" s="16">
        <f>IF(A328="","",Calculator!$B$40-G328)</f>
        <v/>
      </c>
      <c r="I328" s="17">
        <f>IF(A328="","",A328*Calculator!$B$5*Calculator!$B$8/3600)</f>
        <v/>
      </c>
      <c r="J328" s="12">
        <f>IF(A328="","",Calculator!$B$35-E328)</f>
        <v/>
      </c>
    </row>
    <row r="329">
      <c r="A329" s="15">
        <f>IF(327/1000&lt;=Calculator!$B$27+0.0000001,327/1000,"")</f>
        <v/>
      </c>
      <c r="B329" s="15">
        <f>IF(A329="","",A329/Calculator!$B$27)</f>
        <v/>
      </c>
      <c r="C329" s="15">
        <f>IF(A329="","",Calculator!$B$27-A329)</f>
        <v/>
      </c>
      <c r="D329" s="17">
        <f>IF(A329="","",(Calculator!$B$11+C329)*Calculator!$B$5)</f>
        <v/>
      </c>
      <c r="E329" s="12">
        <f>IF(A329="","",IF(Calculator!$B$17=1,ROUNDUP(D329*Calculator!$B$8/3600/Calculator!$B$24-0.000000001,0),D329*Calculator!$B$8/3600/Calculator!$B$24))</f>
        <v/>
      </c>
      <c r="F329" s="16">
        <f>IF(A329="","",IF(Calculator!$B$16=1,Calculator!$B$27,A329)*Calculator!$B$5*Calculator!$B$15)</f>
        <v/>
      </c>
      <c r="G329" s="16">
        <f>IF(A329="","",E329*Calculator!$B$6+Calculator!$C$37+F329+Calculator!$B$30)</f>
        <v/>
      </c>
      <c r="H329" s="16">
        <f>IF(A329="","",Calculator!$B$40-G329)</f>
        <v/>
      </c>
      <c r="I329" s="17">
        <f>IF(A329="","",A329*Calculator!$B$5*Calculator!$B$8/3600)</f>
        <v/>
      </c>
      <c r="J329" s="12">
        <f>IF(A329="","",Calculator!$B$35-E329)</f>
        <v/>
      </c>
    </row>
    <row r="330">
      <c r="A330" s="15">
        <f>IF(328/1000&lt;=Calculator!$B$27+0.0000001,328/1000,"")</f>
        <v/>
      </c>
      <c r="B330" s="15">
        <f>IF(A330="","",A330/Calculator!$B$27)</f>
        <v/>
      </c>
      <c r="C330" s="15">
        <f>IF(A330="","",Calculator!$B$27-A330)</f>
        <v/>
      </c>
      <c r="D330" s="17">
        <f>IF(A330="","",(Calculator!$B$11+C330)*Calculator!$B$5)</f>
        <v/>
      </c>
      <c r="E330" s="12">
        <f>IF(A330="","",IF(Calculator!$B$17=1,ROUNDUP(D330*Calculator!$B$8/3600/Calculator!$B$24-0.000000001,0),D330*Calculator!$B$8/3600/Calculator!$B$24))</f>
        <v/>
      </c>
      <c r="F330" s="16">
        <f>IF(A330="","",IF(Calculator!$B$16=1,Calculator!$B$27,A330)*Calculator!$B$5*Calculator!$B$15)</f>
        <v/>
      </c>
      <c r="G330" s="16">
        <f>IF(A330="","",E330*Calculator!$B$6+Calculator!$C$37+F330+Calculator!$B$30)</f>
        <v/>
      </c>
      <c r="H330" s="16">
        <f>IF(A330="","",Calculator!$B$40-G330)</f>
        <v/>
      </c>
      <c r="I330" s="17">
        <f>IF(A330="","",A330*Calculator!$B$5*Calculator!$B$8/3600)</f>
        <v/>
      </c>
      <c r="J330" s="12">
        <f>IF(A330="","",Calculator!$B$35-E330)</f>
        <v/>
      </c>
    </row>
    <row r="331">
      <c r="A331" s="15">
        <f>IF(329/1000&lt;=Calculator!$B$27+0.0000001,329/1000,"")</f>
        <v/>
      </c>
      <c r="B331" s="15">
        <f>IF(A331="","",A331/Calculator!$B$27)</f>
        <v/>
      </c>
      <c r="C331" s="15">
        <f>IF(A331="","",Calculator!$B$27-A331)</f>
        <v/>
      </c>
      <c r="D331" s="17">
        <f>IF(A331="","",(Calculator!$B$11+C331)*Calculator!$B$5)</f>
        <v/>
      </c>
      <c r="E331" s="12">
        <f>IF(A331="","",IF(Calculator!$B$17=1,ROUNDUP(D331*Calculator!$B$8/3600/Calculator!$B$24-0.000000001,0),D331*Calculator!$B$8/3600/Calculator!$B$24))</f>
        <v/>
      </c>
      <c r="F331" s="16">
        <f>IF(A331="","",IF(Calculator!$B$16=1,Calculator!$B$27,A331)*Calculator!$B$5*Calculator!$B$15)</f>
        <v/>
      </c>
      <c r="G331" s="16">
        <f>IF(A331="","",E331*Calculator!$B$6+Calculator!$C$37+F331+Calculator!$B$30)</f>
        <v/>
      </c>
      <c r="H331" s="16">
        <f>IF(A331="","",Calculator!$B$40-G331)</f>
        <v/>
      </c>
      <c r="I331" s="17">
        <f>IF(A331="","",A331*Calculator!$B$5*Calculator!$B$8/3600)</f>
        <v/>
      </c>
      <c r="J331" s="12">
        <f>IF(A331="","",Calculator!$B$35-E331)</f>
        <v/>
      </c>
    </row>
    <row r="332">
      <c r="A332" s="15">
        <f>IF(330/1000&lt;=Calculator!$B$27+0.0000001,330/1000,"")</f>
        <v/>
      </c>
      <c r="B332" s="15">
        <f>IF(A332="","",A332/Calculator!$B$27)</f>
        <v/>
      </c>
      <c r="C332" s="15">
        <f>IF(A332="","",Calculator!$B$27-A332)</f>
        <v/>
      </c>
      <c r="D332" s="17">
        <f>IF(A332="","",(Calculator!$B$11+C332)*Calculator!$B$5)</f>
        <v/>
      </c>
      <c r="E332" s="12">
        <f>IF(A332="","",IF(Calculator!$B$17=1,ROUNDUP(D332*Calculator!$B$8/3600/Calculator!$B$24-0.000000001,0),D332*Calculator!$B$8/3600/Calculator!$B$24))</f>
        <v/>
      </c>
      <c r="F332" s="16">
        <f>IF(A332="","",IF(Calculator!$B$16=1,Calculator!$B$27,A332)*Calculator!$B$5*Calculator!$B$15)</f>
        <v/>
      </c>
      <c r="G332" s="16">
        <f>IF(A332="","",E332*Calculator!$B$6+Calculator!$C$37+F332+Calculator!$B$30)</f>
        <v/>
      </c>
      <c r="H332" s="16">
        <f>IF(A332="","",Calculator!$B$40-G332)</f>
        <v/>
      </c>
      <c r="I332" s="17">
        <f>IF(A332="","",A332*Calculator!$B$5*Calculator!$B$8/3600)</f>
        <v/>
      </c>
      <c r="J332" s="12">
        <f>IF(A332="","",Calculator!$B$35-E332)</f>
        <v/>
      </c>
    </row>
    <row r="333">
      <c r="A333" s="15">
        <f>IF(331/1000&lt;=Calculator!$B$27+0.0000001,331/1000,"")</f>
        <v/>
      </c>
      <c r="B333" s="15">
        <f>IF(A333="","",A333/Calculator!$B$27)</f>
        <v/>
      </c>
      <c r="C333" s="15">
        <f>IF(A333="","",Calculator!$B$27-A333)</f>
        <v/>
      </c>
      <c r="D333" s="17">
        <f>IF(A333="","",(Calculator!$B$11+C333)*Calculator!$B$5)</f>
        <v/>
      </c>
      <c r="E333" s="12">
        <f>IF(A333="","",IF(Calculator!$B$17=1,ROUNDUP(D333*Calculator!$B$8/3600/Calculator!$B$24-0.000000001,0),D333*Calculator!$B$8/3600/Calculator!$B$24))</f>
        <v/>
      </c>
      <c r="F333" s="16">
        <f>IF(A333="","",IF(Calculator!$B$16=1,Calculator!$B$27,A333)*Calculator!$B$5*Calculator!$B$15)</f>
        <v/>
      </c>
      <c r="G333" s="16">
        <f>IF(A333="","",E333*Calculator!$B$6+Calculator!$C$37+F333+Calculator!$B$30)</f>
        <v/>
      </c>
      <c r="H333" s="16">
        <f>IF(A333="","",Calculator!$B$40-G333)</f>
        <v/>
      </c>
      <c r="I333" s="17">
        <f>IF(A333="","",A333*Calculator!$B$5*Calculator!$B$8/3600)</f>
        <v/>
      </c>
      <c r="J333" s="12">
        <f>IF(A333="","",Calculator!$B$35-E333)</f>
        <v/>
      </c>
    </row>
    <row r="334">
      <c r="A334" s="15">
        <f>IF(332/1000&lt;=Calculator!$B$27+0.0000001,332/1000,"")</f>
        <v/>
      </c>
      <c r="B334" s="15">
        <f>IF(A334="","",A334/Calculator!$B$27)</f>
        <v/>
      </c>
      <c r="C334" s="15">
        <f>IF(A334="","",Calculator!$B$27-A334)</f>
        <v/>
      </c>
      <c r="D334" s="17">
        <f>IF(A334="","",(Calculator!$B$11+C334)*Calculator!$B$5)</f>
        <v/>
      </c>
      <c r="E334" s="12">
        <f>IF(A334="","",IF(Calculator!$B$17=1,ROUNDUP(D334*Calculator!$B$8/3600/Calculator!$B$24-0.000000001,0),D334*Calculator!$B$8/3600/Calculator!$B$24))</f>
        <v/>
      </c>
      <c r="F334" s="16">
        <f>IF(A334="","",IF(Calculator!$B$16=1,Calculator!$B$27,A334)*Calculator!$B$5*Calculator!$B$15)</f>
        <v/>
      </c>
      <c r="G334" s="16">
        <f>IF(A334="","",E334*Calculator!$B$6+Calculator!$C$37+F334+Calculator!$B$30)</f>
        <v/>
      </c>
      <c r="H334" s="16">
        <f>IF(A334="","",Calculator!$B$40-G334)</f>
        <v/>
      </c>
      <c r="I334" s="17">
        <f>IF(A334="","",A334*Calculator!$B$5*Calculator!$B$8/3600)</f>
        <v/>
      </c>
      <c r="J334" s="12">
        <f>IF(A334="","",Calculator!$B$35-E334)</f>
        <v/>
      </c>
    </row>
    <row r="335">
      <c r="A335" s="15">
        <f>IF(333/1000&lt;=Calculator!$B$27+0.0000001,333/1000,"")</f>
        <v/>
      </c>
      <c r="B335" s="15">
        <f>IF(A335="","",A335/Calculator!$B$27)</f>
        <v/>
      </c>
      <c r="C335" s="15">
        <f>IF(A335="","",Calculator!$B$27-A335)</f>
        <v/>
      </c>
      <c r="D335" s="17">
        <f>IF(A335="","",(Calculator!$B$11+C335)*Calculator!$B$5)</f>
        <v/>
      </c>
      <c r="E335" s="12">
        <f>IF(A335="","",IF(Calculator!$B$17=1,ROUNDUP(D335*Calculator!$B$8/3600/Calculator!$B$24-0.000000001,0),D335*Calculator!$B$8/3600/Calculator!$B$24))</f>
        <v/>
      </c>
      <c r="F335" s="16">
        <f>IF(A335="","",IF(Calculator!$B$16=1,Calculator!$B$27,A335)*Calculator!$B$5*Calculator!$B$15)</f>
        <v/>
      </c>
      <c r="G335" s="16">
        <f>IF(A335="","",E335*Calculator!$B$6+Calculator!$C$37+F335+Calculator!$B$30)</f>
        <v/>
      </c>
      <c r="H335" s="16">
        <f>IF(A335="","",Calculator!$B$40-G335)</f>
        <v/>
      </c>
      <c r="I335" s="17">
        <f>IF(A335="","",A335*Calculator!$B$5*Calculator!$B$8/3600)</f>
        <v/>
      </c>
      <c r="J335" s="12">
        <f>IF(A335="","",Calculator!$B$35-E335)</f>
        <v/>
      </c>
    </row>
    <row r="336">
      <c r="A336" s="15">
        <f>IF(334/1000&lt;=Calculator!$B$27+0.0000001,334/1000,"")</f>
        <v/>
      </c>
      <c r="B336" s="15">
        <f>IF(A336="","",A336/Calculator!$B$27)</f>
        <v/>
      </c>
      <c r="C336" s="15">
        <f>IF(A336="","",Calculator!$B$27-A336)</f>
        <v/>
      </c>
      <c r="D336" s="17">
        <f>IF(A336="","",(Calculator!$B$11+C336)*Calculator!$B$5)</f>
        <v/>
      </c>
      <c r="E336" s="12">
        <f>IF(A336="","",IF(Calculator!$B$17=1,ROUNDUP(D336*Calculator!$B$8/3600/Calculator!$B$24-0.000000001,0),D336*Calculator!$B$8/3600/Calculator!$B$24))</f>
        <v/>
      </c>
      <c r="F336" s="16">
        <f>IF(A336="","",IF(Calculator!$B$16=1,Calculator!$B$27,A336)*Calculator!$B$5*Calculator!$B$15)</f>
        <v/>
      </c>
      <c r="G336" s="16">
        <f>IF(A336="","",E336*Calculator!$B$6+Calculator!$C$37+F336+Calculator!$B$30)</f>
        <v/>
      </c>
      <c r="H336" s="16">
        <f>IF(A336="","",Calculator!$B$40-G336)</f>
        <v/>
      </c>
      <c r="I336" s="17">
        <f>IF(A336="","",A336*Calculator!$B$5*Calculator!$B$8/3600)</f>
        <v/>
      </c>
      <c r="J336" s="12">
        <f>IF(A336="","",Calculator!$B$35-E336)</f>
        <v/>
      </c>
    </row>
    <row r="337">
      <c r="A337" s="15">
        <f>IF(335/1000&lt;=Calculator!$B$27+0.0000001,335/1000,"")</f>
        <v/>
      </c>
      <c r="B337" s="15">
        <f>IF(A337="","",A337/Calculator!$B$27)</f>
        <v/>
      </c>
      <c r="C337" s="15">
        <f>IF(A337="","",Calculator!$B$27-A337)</f>
        <v/>
      </c>
      <c r="D337" s="17">
        <f>IF(A337="","",(Calculator!$B$11+C337)*Calculator!$B$5)</f>
        <v/>
      </c>
      <c r="E337" s="12">
        <f>IF(A337="","",IF(Calculator!$B$17=1,ROUNDUP(D337*Calculator!$B$8/3600/Calculator!$B$24-0.000000001,0),D337*Calculator!$B$8/3600/Calculator!$B$24))</f>
        <v/>
      </c>
      <c r="F337" s="16">
        <f>IF(A337="","",IF(Calculator!$B$16=1,Calculator!$B$27,A337)*Calculator!$B$5*Calculator!$B$15)</f>
        <v/>
      </c>
      <c r="G337" s="16">
        <f>IF(A337="","",E337*Calculator!$B$6+Calculator!$C$37+F337+Calculator!$B$30)</f>
        <v/>
      </c>
      <c r="H337" s="16">
        <f>IF(A337="","",Calculator!$B$40-G337)</f>
        <v/>
      </c>
      <c r="I337" s="17">
        <f>IF(A337="","",A337*Calculator!$B$5*Calculator!$B$8/3600)</f>
        <v/>
      </c>
      <c r="J337" s="12">
        <f>IF(A337="","",Calculator!$B$35-E337)</f>
        <v/>
      </c>
    </row>
    <row r="338">
      <c r="A338" s="15">
        <f>IF(336/1000&lt;=Calculator!$B$27+0.0000001,336/1000,"")</f>
        <v/>
      </c>
      <c r="B338" s="15">
        <f>IF(A338="","",A338/Calculator!$B$27)</f>
        <v/>
      </c>
      <c r="C338" s="15">
        <f>IF(A338="","",Calculator!$B$27-A338)</f>
        <v/>
      </c>
      <c r="D338" s="17">
        <f>IF(A338="","",(Calculator!$B$11+C338)*Calculator!$B$5)</f>
        <v/>
      </c>
      <c r="E338" s="12">
        <f>IF(A338="","",IF(Calculator!$B$17=1,ROUNDUP(D338*Calculator!$B$8/3600/Calculator!$B$24-0.000000001,0),D338*Calculator!$B$8/3600/Calculator!$B$24))</f>
        <v/>
      </c>
      <c r="F338" s="16">
        <f>IF(A338="","",IF(Calculator!$B$16=1,Calculator!$B$27,A338)*Calculator!$B$5*Calculator!$B$15)</f>
        <v/>
      </c>
      <c r="G338" s="16">
        <f>IF(A338="","",E338*Calculator!$B$6+Calculator!$C$37+F338+Calculator!$B$30)</f>
        <v/>
      </c>
      <c r="H338" s="16">
        <f>IF(A338="","",Calculator!$B$40-G338)</f>
        <v/>
      </c>
      <c r="I338" s="17">
        <f>IF(A338="","",A338*Calculator!$B$5*Calculator!$B$8/3600)</f>
        <v/>
      </c>
      <c r="J338" s="12">
        <f>IF(A338="","",Calculator!$B$35-E338)</f>
        <v/>
      </c>
    </row>
    <row r="339">
      <c r="A339" s="15">
        <f>IF(337/1000&lt;=Calculator!$B$27+0.0000001,337/1000,"")</f>
        <v/>
      </c>
      <c r="B339" s="15">
        <f>IF(A339="","",A339/Calculator!$B$27)</f>
        <v/>
      </c>
      <c r="C339" s="15">
        <f>IF(A339="","",Calculator!$B$27-A339)</f>
        <v/>
      </c>
      <c r="D339" s="17">
        <f>IF(A339="","",(Calculator!$B$11+C339)*Calculator!$B$5)</f>
        <v/>
      </c>
      <c r="E339" s="12">
        <f>IF(A339="","",IF(Calculator!$B$17=1,ROUNDUP(D339*Calculator!$B$8/3600/Calculator!$B$24-0.000000001,0),D339*Calculator!$B$8/3600/Calculator!$B$24))</f>
        <v/>
      </c>
      <c r="F339" s="16">
        <f>IF(A339="","",IF(Calculator!$B$16=1,Calculator!$B$27,A339)*Calculator!$B$5*Calculator!$B$15)</f>
        <v/>
      </c>
      <c r="G339" s="16">
        <f>IF(A339="","",E339*Calculator!$B$6+Calculator!$C$37+F339+Calculator!$B$30)</f>
        <v/>
      </c>
      <c r="H339" s="16">
        <f>IF(A339="","",Calculator!$B$40-G339)</f>
        <v/>
      </c>
      <c r="I339" s="17">
        <f>IF(A339="","",A339*Calculator!$B$5*Calculator!$B$8/3600)</f>
        <v/>
      </c>
      <c r="J339" s="12">
        <f>IF(A339="","",Calculator!$B$35-E339)</f>
        <v/>
      </c>
    </row>
    <row r="340">
      <c r="A340" s="15">
        <f>IF(338/1000&lt;=Calculator!$B$27+0.0000001,338/1000,"")</f>
        <v/>
      </c>
      <c r="B340" s="15">
        <f>IF(A340="","",A340/Calculator!$B$27)</f>
        <v/>
      </c>
      <c r="C340" s="15">
        <f>IF(A340="","",Calculator!$B$27-A340)</f>
        <v/>
      </c>
      <c r="D340" s="17">
        <f>IF(A340="","",(Calculator!$B$11+C340)*Calculator!$B$5)</f>
        <v/>
      </c>
      <c r="E340" s="12">
        <f>IF(A340="","",IF(Calculator!$B$17=1,ROUNDUP(D340*Calculator!$B$8/3600/Calculator!$B$24-0.000000001,0),D340*Calculator!$B$8/3600/Calculator!$B$24))</f>
        <v/>
      </c>
      <c r="F340" s="16">
        <f>IF(A340="","",IF(Calculator!$B$16=1,Calculator!$B$27,A340)*Calculator!$B$5*Calculator!$B$15)</f>
        <v/>
      </c>
      <c r="G340" s="16">
        <f>IF(A340="","",E340*Calculator!$B$6+Calculator!$C$37+F340+Calculator!$B$30)</f>
        <v/>
      </c>
      <c r="H340" s="16">
        <f>IF(A340="","",Calculator!$B$40-G340)</f>
        <v/>
      </c>
      <c r="I340" s="17">
        <f>IF(A340="","",A340*Calculator!$B$5*Calculator!$B$8/3600)</f>
        <v/>
      </c>
      <c r="J340" s="12">
        <f>IF(A340="","",Calculator!$B$35-E340)</f>
        <v/>
      </c>
    </row>
    <row r="341">
      <c r="A341" s="15">
        <f>IF(339/1000&lt;=Calculator!$B$27+0.0000001,339/1000,"")</f>
        <v/>
      </c>
      <c r="B341" s="15">
        <f>IF(A341="","",A341/Calculator!$B$27)</f>
        <v/>
      </c>
      <c r="C341" s="15">
        <f>IF(A341="","",Calculator!$B$27-A341)</f>
        <v/>
      </c>
      <c r="D341" s="17">
        <f>IF(A341="","",(Calculator!$B$11+C341)*Calculator!$B$5)</f>
        <v/>
      </c>
      <c r="E341" s="12">
        <f>IF(A341="","",IF(Calculator!$B$17=1,ROUNDUP(D341*Calculator!$B$8/3600/Calculator!$B$24-0.000000001,0),D341*Calculator!$B$8/3600/Calculator!$B$24))</f>
        <v/>
      </c>
      <c r="F341" s="16">
        <f>IF(A341="","",IF(Calculator!$B$16=1,Calculator!$B$27,A341)*Calculator!$B$5*Calculator!$B$15)</f>
        <v/>
      </c>
      <c r="G341" s="16">
        <f>IF(A341="","",E341*Calculator!$B$6+Calculator!$C$37+F341+Calculator!$B$30)</f>
        <v/>
      </c>
      <c r="H341" s="16">
        <f>IF(A341="","",Calculator!$B$40-G341)</f>
        <v/>
      </c>
      <c r="I341" s="17">
        <f>IF(A341="","",A341*Calculator!$B$5*Calculator!$B$8/3600)</f>
        <v/>
      </c>
      <c r="J341" s="12">
        <f>IF(A341="","",Calculator!$B$35-E341)</f>
        <v/>
      </c>
    </row>
    <row r="342">
      <c r="A342" s="15">
        <f>IF(340/1000&lt;=Calculator!$B$27+0.0000001,340/1000,"")</f>
        <v/>
      </c>
      <c r="B342" s="15">
        <f>IF(A342="","",A342/Calculator!$B$27)</f>
        <v/>
      </c>
      <c r="C342" s="15">
        <f>IF(A342="","",Calculator!$B$27-A342)</f>
        <v/>
      </c>
      <c r="D342" s="17">
        <f>IF(A342="","",(Calculator!$B$11+C342)*Calculator!$B$5)</f>
        <v/>
      </c>
      <c r="E342" s="12">
        <f>IF(A342="","",IF(Calculator!$B$17=1,ROUNDUP(D342*Calculator!$B$8/3600/Calculator!$B$24-0.000000001,0),D342*Calculator!$B$8/3600/Calculator!$B$24))</f>
        <v/>
      </c>
      <c r="F342" s="16">
        <f>IF(A342="","",IF(Calculator!$B$16=1,Calculator!$B$27,A342)*Calculator!$B$5*Calculator!$B$15)</f>
        <v/>
      </c>
      <c r="G342" s="16">
        <f>IF(A342="","",E342*Calculator!$B$6+Calculator!$C$37+F342+Calculator!$B$30)</f>
        <v/>
      </c>
      <c r="H342" s="16">
        <f>IF(A342="","",Calculator!$B$40-G342)</f>
        <v/>
      </c>
      <c r="I342" s="17">
        <f>IF(A342="","",A342*Calculator!$B$5*Calculator!$B$8/3600)</f>
        <v/>
      </c>
      <c r="J342" s="12">
        <f>IF(A342="","",Calculator!$B$35-E342)</f>
        <v/>
      </c>
    </row>
    <row r="343">
      <c r="A343" s="15">
        <f>IF(341/1000&lt;=Calculator!$B$27+0.0000001,341/1000,"")</f>
        <v/>
      </c>
      <c r="B343" s="15">
        <f>IF(A343="","",A343/Calculator!$B$27)</f>
        <v/>
      </c>
      <c r="C343" s="15">
        <f>IF(A343="","",Calculator!$B$27-A343)</f>
        <v/>
      </c>
      <c r="D343" s="17">
        <f>IF(A343="","",(Calculator!$B$11+C343)*Calculator!$B$5)</f>
        <v/>
      </c>
      <c r="E343" s="12">
        <f>IF(A343="","",IF(Calculator!$B$17=1,ROUNDUP(D343*Calculator!$B$8/3600/Calculator!$B$24-0.000000001,0),D343*Calculator!$B$8/3600/Calculator!$B$24))</f>
        <v/>
      </c>
      <c r="F343" s="16">
        <f>IF(A343="","",IF(Calculator!$B$16=1,Calculator!$B$27,A343)*Calculator!$B$5*Calculator!$B$15)</f>
        <v/>
      </c>
      <c r="G343" s="16">
        <f>IF(A343="","",E343*Calculator!$B$6+Calculator!$C$37+F343+Calculator!$B$30)</f>
        <v/>
      </c>
      <c r="H343" s="16">
        <f>IF(A343="","",Calculator!$B$40-G343)</f>
        <v/>
      </c>
      <c r="I343" s="17">
        <f>IF(A343="","",A343*Calculator!$B$5*Calculator!$B$8/3600)</f>
        <v/>
      </c>
      <c r="J343" s="12">
        <f>IF(A343="","",Calculator!$B$35-E343)</f>
        <v/>
      </c>
    </row>
    <row r="344">
      <c r="A344" s="15">
        <f>IF(342/1000&lt;=Calculator!$B$27+0.0000001,342/1000,"")</f>
        <v/>
      </c>
      <c r="B344" s="15">
        <f>IF(A344="","",A344/Calculator!$B$27)</f>
        <v/>
      </c>
      <c r="C344" s="15">
        <f>IF(A344="","",Calculator!$B$27-A344)</f>
        <v/>
      </c>
      <c r="D344" s="17">
        <f>IF(A344="","",(Calculator!$B$11+C344)*Calculator!$B$5)</f>
        <v/>
      </c>
      <c r="E344" s="12">
        <f>IF(A344="","",IF(Calculator!$B$17=1,ROUNDUP(D344*Calculator!$B$8/3600/Calculator!$B$24-0.000000001,0),D344*Calculator!$B$8/3600/Calculator!$B$24))</f>
        <v/>
      </c>
      <c r="F344" s="16">
        <f>IF(A344="","",IF(Calculator!$B$16=1,Calculator!$B$27,A344)*Calculator!$B$5*Calculator!$B$15)</f>
        <v/>
      </c>
      <c r="G344" s="16">
        <f>IF(A344="","",E344*Calculator!$B$6+Calculator!$C$37+F344+Calculator!$B$30)</f>
        <v/>
      </c>
      <c r="H344" s="16">
        <f>IF(A344="","",Calculator!$B$40-G344)</f>
        <v/>
      </c>
      <c r="I344" s="17">
        <f>IF(A344="","",A344*Calculator!$B$5*Calculator!$B$8/3600)</f>
        <v/>
      </c>
      <c r="J344" s="12">
        <f>IF(A344="","",Calculator!$B$35-E344)</f>
        <v/>
      </c>
    </row>
    <row r="345">
      <c r="A345" s="15">
        <f>IF(343/1000&lt;=Calculator!$B$27+0.0000001,343/1000,"")</f>
        <v/>
      </c>
      <c r="B345" s="15">
        <f>IF(A345="","",A345/Calculator!$B$27)</f>
        <v/>
      </c>
      <c r="C345" s="15">
        <f>IF(A345="","",Calculator!$B$27-A345)</f>
        <v/>
      </c>
      <c r="D345" s="17">
        <f>IF(A345="","",(Calculator!$B$11+C345)*Calculator!$B$5)</f>
        <v/>
      </c>
      <c r="E345" s="12">
        <f>IF(A345="","",IF(Calculator!$B$17=1,ROUNDUP(D345*Calculator!$B$8/3600/Calculator!$B$24-0.000000001,0),D345*Calculator!$B$8/3600/Calculator!$B$24))</f>
        <v/>
      </c>
      <c r="F345" s="16">
        <f>IF(A345="","",IF(Calculator!$B$16=1,Calculator!$B$27,A345)*Calculator!$B$5*Calculator!$B$15)</f>
        <v/>
      </c>
      <c r="G345" s="16">
        <f>IF(A345="","",E345*Calculator!$B$6+Calculator!$C$37+F345+Calculator!$B$30)</f>
        <v/>
      </c>
      <c r="H345" s="16">
        <f>IF(A345="","",Calculator!$B$40-G345)</f>
        <v/>
      </c>
      <c r="I345" s="17">
        <f>IF(A345="","",A345*Calculator!$B$5*Calculator!$B$8/3600)</f>
        <v/>
      </c>
      <c r="J345" s="12">
        <f>IF(A345="","",Calculator!$B$35-E345)</f>
        <v/>
      </c>
    </row>
    <row r="346">
      <c r="A346" s="15">
        <f>IF(344/1000&lt;=Calculator!$B$27+0.0000001,344/1000,"")</f>
        <v/>
      </c>
      <c r="B346" s="15">
        <f>IF(A346="","",A346/Calculator!$B$27)</f>
        <v/>
      </c>
      <c r="C346" s="15">
        <f>IF(A346="","",Calculator!$B$27-A346)</f>
        <v/>
      </c>
      <c r="D346" s="17">
        <f>IF(A346="","",(Calculator!$B$11+C346)*Calculator!$B$5)</f>
        <v/>
      </c>
      <c r="E346" s="12">
        <f>IF(A346="","",IF(Calculator!$B$17=1,ROUNDUP(D346*Calculator!$B$8/3600/Calculator!$B$24-0.000000001,0),D346*Calculator!$B$8/3600/Calculator!$B$24))</f>
        <v/>
      </c>
      <c r="F346" s="16">
        <f>IF(A346="","",IF(Calculator!$B$16=1,Calculator!$B$27,A346)*Calculator!$B$5*Calculator!$B$15)</f>
        <v/>
      </c>
      <c r="G346" s="16">
        <f>IF(A346="","",E346*Calculator!$B$6+Calculator!$C$37+F346+Calculator!$B$30)</f>
        <v/>
      </c>
      <c r="H346" s="16">
        <f>IF(A346="","",Calculator!$B$40-G346)</f>
        <v/>
      </c>
      <c r="I346" s="17">
        <f>IF(A346="","",A346*Calculator!$B$5*Calculator!$B$8/3600)</f>
        <v/>
      </c>
      <c r="J346" s="12">
        <f>IF(A346="","",Calculator!$B$35-E346)</f>
        <v/>
      </c>
    </row>
    <row r="347">
      <c r="A347" s="15">
        <f>IF(345/1000&lt;=Calculator!$B$27+0.0000001,345/1000,"")</f>
        <v/>
      </c>
      <c r="B347" s="15">
        <f>IF(A347="","",A347/Calculator!$B$27)</f>
        <v/>
      </c>
      <c r="C347" s="15">
        <f>IF(A347="","",Calculator!$B$27-A347)</f>
        <v/>
      </c>
      <c r="D347" s="17">
        <f>IF(A347="","",(Calculator!$B$11+C347)*Calculator!$B$5)</f>
        <v/>
      </c>
      <c r="E347" s="12">
        <f>IF(A347="","",IF(Calculator!$B$17=1,ROUNDUP(D347*Calculator!$B$8/3600/Calculator!$B$24-0.000000001,0),D347*Calculator!$B$8/3600/Calculator!$B$24))</f>
        <v/>
      </c>
      <c r="F347" s="16">
        <f>IF(A347="","",IF(Calculator!$B$16=1,Calculator!$B$27,A347)*Calculator!$B$5*Calculator!$B$15)</f>
        <v/>
      </c>
      <c r="G347" s="16">
        <f>IF(A347="","",E347*Calculator!$B$6+Calculator!$C$37+F347+Calculator!$B$30)</f>
        <v/>
      </c>
      <c r="H347" s="16">
        <f>IF(A347="","",Calculator!$B$40-G347)</f>
        <v/>
      </c>
      <c r="I347" s="17">
        <f>IF(A347="","",A347*Calculator!$B$5*Calculator!$B$8/3600)</f>
        <v/>
      </c>
      <c r="J347" s="12">
        <f>IF(A347="","",Calculator!$B$35-E347)</f>
        <v/>
      </c>
    </row>
    <row r="348">
      <c r="A348" s="15">
        <f>IF(346/1000&lt;=Calculator!$B$27+0.0000001,346/1000,"")</f>
        <v/>
      </c>
      <c r="B348" s="15">
        <f>IF(A348="","",A348/Calculator!$B$27)</f>
        <v/>
      </c>
      <c r="C348" s="15">
        <f>IF(A348="","",Calculator!$B$27-A348)</f>
        <v/>
      </c>
      <c r="D348" s="17">
        <f>IF(A348="","",(Calculator!$B$11+C348)*Calculator!$B$5)</f>
        <v/>
      </c>
      <c r="E348" s="12">
        <f>IF(A348="","",IF(Calculator!$B$17=1,ROUNDUP(D348*Calculator!$B$8/3600/Calculator!$B$24-0.000000001,0),D348*Calculator!$B$8/3600/Calculator!$B$24))</f>
        <v/>
      </c>
      <c r="F348" s="16">
        <f>IF(A348="","",IF(Calculator!$B$16=1,Calculator!$B$27,A348)*Calculator!$B$5*Calculator!$B$15)</f>
        <v/>
      </c>
      <c r="G348" s="16">
        <f>IF(A348="","",E348*Calculator!$B$6+Calculator!$C$37+F348+Calculator!$B$30)</f>
        <v/>
      </c>
      <c r="H348" s="16">
        <f>IF(A348="","",Calculator!$B$40-G348)</f>
        <v/>
      </c>
      <c r="I348" s="17">
        <f>IF(A348="","",A348*Calculator!$B$5*Calculator!$B$8/3600)</f>
        <v/>
      </c>
      <c r="J348" s="12">
        <f>IF(A348="","",Calculator!$B$35-E348)</f>
        <v/>
      </c>
    </row>
    <row r="349">
      <c r="A349" s="15">
        <f>IF(347/1000&lt;=Calculator!$B$27+0.0000001,347/1000,"")</f>
        <v/>
      </c>
      <c r="B349" s="15">
        <f>IF(A349="","",A349/Calculator!$B$27)</f>
        <v/>
      </c>
      <c r="C349" s="15">
        <f>IF(A349="","",Calculator!$B$27-A349)</f>
        <v/>
      </c>
      <c r="D349" s="17">
        <f>IF(A349="","",(Calculator!$B$11+C349)*Calculator!$B$5)</f>
        <v/>
      </c>
      <c r="E349" s="12">
        <f>IF(A349="","",IF(Calculator!$B$17=1,ROUNDUP(D349*Calculator!$B$8/3600/Calculator!$B$24-0.000000001,0),D349*Calculator!$B$8/3600/Calculator!$B$24))</f>
        <v/>
      </c>
      <c r="F349" s="16">
        <f>IF(A349="","",IF(Calculator!$B$16=1,Calculator!$B$27,A349)*Calculator!$B$5*Calculator!$B$15)</f>
        <v/>
      </c>
      <c r="G349" s="16">
        <f>IF(A349="","",E349*Calculator!$B$6+Calculator!$C$37+F349+Calculator!$B$30)</f>
        <v/>
      </c>
      <c r="H349" s="16">
        <f>IF(A349="","",Calculator!$B$40-G349)</f>
        <v/>
      </c>
      <c r="I349" s="17">
        <f>IF(A349="","",A349*Calculator!$B$5*Calculator!$B$8/3600)</f>
        <v/>
      </c>
      <c r="J349" s="12">
        <f>IF(A349="","",Calculator!$B$35-E349)</f>
        <v/>
      </c>
    </row>
    <row r="350">
      <c r="A350" s="15">
        <f>IF(348/1000&lt;=Calculator!$B$27+0.0000001,348/1000,"")</f>
        <v/>
      </c>
      <c r="B350" s="15">
        <f>IF(A350="","",A350/Calculator!$B$27)</f>
        <v/>
      </c>
      <c r="C350" s="15">
        <f>IF(A350="","",Calculator!$B$27-A350)</f>
        <v/>
      </c>
      <c r="D350" s="17">
        <f>IF(A350="","",(Calculator!$B$11+C350)*Calculator!$B$5)</f>
        <v/>
      </c>
      <c r="E350" s="12">
        <f>IF(A350="","",IF(Calculator!$B$17=1,ROUNDUP(D350*Calculator!$B$8/3600/Calculator!$B$24-0.000000001,0),D350*Calculator!$B$8/3600/Calculator!$B$24))</f>
        <v/>
      </c>
      <c r="F350" s="16">
        <f>IF(A350="","",IF(Calculator!$B$16=1,Calculator!$B$27,A350)*Calculator!$B$5*Calculator!$B$15)</f>
        <v/>
      </c>
      <c r="G350" s="16">
        <f>IF(A350="","",E350*Calculator!$B$6+Calculator!$C$37+F350+Calculator!$B$30)</f>
        <v/>
      </c>
      <c r="H350" s="16">
        <f>IF(A350="","",Calculator!$B$40-G350)</f>
        <v/>
      </c>
      <c r="I350" s="17">
        <f>IF(A350="","",A350*Calculator!$B$5*Calculator!$B$8/3600)</f>
        <v/>
      </c>
      <c r="J350" s="12">
        <f>IF(A350="","",Calculator!$B$35-E350)</f>
        <v/>
      </c>
    </row>
    <row r="351">
      <c r="A351" s="15">
        <f>IF(349/1000&lt;=Calculator!$B$27+0.0000001,349/1000,"")</f>
        <v/>
      </c>
      <c r="B351" s="15">
        <f>IF(A351="","",A351/Calculator!$B$27)</f>
        <v/>
      </c>
      <c r="C351" s="15">
        <f>IF(A351="","",Calculator!$B$27-A351)</f>
        <v/>
      </c>
      <c r="D351" s="17">
        <f>IF(A351="","",(Calculator!$B$11+C351)*Calculator!$B$5)</f>
        <v/>
      </c>
      <c r="E351" s="12">
        <f>IF(A351="","",IF(Calculator!$B$17=1,ROUNDUP(D351*Calculator!$B$8/3600/Calculator!$B$24-0.000000001,0),D351*Calculator!$B$8/3600/Calculator!$B$24))</f>
        <v/>
      </c>
      <c r="F351" s="16">
        <f>IF(A351="","",IF(Calculator!$B$16=1,Calculator!$B$27,A351)*Calculator!$B$5*Calculator!$B$15)</f>
        <v/>
      </c>
      <c r="G351" s="16">
        <f>IF(A351="","",E351*Calculator!$B$6+Calculator!$C$37+F351+Calculator!$B$30)</f>
        <v/>
      </c>
      <c r="H351" s="16">
        <f>IF(A351="","",Calculator!$B$40-G351)</f>
        <v/>
      </c>
      <c r="I351" s="17">
        <f>IF(A351="","",A351*Calculator!$B$5*Calculator!$B$8/3600)</f>
        <v/>
      </c>
      <c r="J351" s="12">
        <f>IF(A351="","",Calculator!$B$35-E351)</f>
        <v/>
      </c>
    </row>
    <row r="352">
      <c r="A352" s="15">
        <f>IF(350/1000&lt;=Calculator!$B$27+0.0000001,350/1000,"")</f>
        <v/>
      </c>
      <c r="B352" s="15">
        <f>IF(A352="","",A352/Calculator!$B$27)</f>
        <v/>
      </c>
      <c r="C352" s="15">
        <f>IF(A352="","",Calculator!$B$27-A352)</f>
        <v/>
      </c>
      <c r="D352" s="17">
        <f>IF(A352="","",(Calculator!$B$11+C352)*Calculator!$B$5)</f>
        <v/>
      </c>
      <c r="E352" s="12">
        <f>IF(A352="","",IF(Calculator!$B$17=1,ROUNDUP(D352*Calculator!$B$8/3600/Calculator!$B$24-0.000000001,0),D352*Calculator!$B$8/3600/Calculator!$B$24))</f>
        <v/>
      </c>
      <c r="F352" s="16">
        <f>IF(A352="","",IF(Calculator!$B$16=1,Calculator!$B$27,A352)*Calculator!$B$5*Calculator!$B$15)</f>
        <v/>
      </c>
      <c r="G352" s="16">
        <f>IF(A352="","",E352*Calculator!$B$6+Calculator!$C$37+F352+Calculator!$B$30)</f>
        <v/>
      </c>
      <c r="H352" s="16">
        <f>IF(A352="","",Calculator!$B$40-G352)</f>
        <v/>
      </c>
      <c r="I352" s="17">
        <f>IF(A352="","",A352*Calculator!$B$5*Calculator!$B$8/3600)</f>
        <v/>
      </c>
      <c r="J352" s="12">
        <f>IF(A352="","",Calculator!$B$35-E352)</f>
        <v/>
      </c>
    </row>
    <row r="353">
      <c r="A353" s="15">
        <f>IF(351/1000&lt;=Calculator!$B$27+0.0000001,351/1000,"")</f>
        <v/>
      </c>
      <c r="B353" s="15">
        <f>IF(A353="","",A353/Calculator!$B$27)</f>
        <v/>
      </c>
      <c r="C353" s="15">
        <f>IF(A353="","",Calculator!$B$27-A353)</f>
        <v/>
      </c>
      <c r="D353" s="17">
        <f>IF(A353="","",(Calculator!$B$11+C353)*Calculator!$B$5)</f>
        <v/>
      </c>
      <c r="E353" s="12">
        <f>IF(A353="","",IF(Calculator!$B$17=1,ROUNDUP(D353*Calculator!$B$8/3600/Calculator!$B$24-0.000000001,0),D353*Calculator!$B$8/3600/Calculator!$B$24))</f>
        <v/>
      </c>
      <c r="F353" s="16">
        <f>IF(A353="","",IF(Calculator!$B$16=1,Calculator!$B$27,A353)*Calculator!$B$5*Calculator!$B$15)</f>
        <v/>
      </c>
      <c r="G353" s="16">
        <f>IF(A353="","",E353*Calculator!$B$6+Calculator!$C$37+F353+Calculator!$B$30)</f>
        <v/>
      </c>
      <c r="H353" s="16">
        <f>IF(A353="","",Calculator!$B$40-G353)</f>
        <v/>
      </c>
      <c r="I353" s="17">
        <f>IF(A353="","",A353*Calculator!$B$5*Calculator!$B$8/3600)</f>
        <v/>
      </c>
      <c r="J353" s="12">
        <f>IF(A353="","",Calculator!$B$35-E353)</f>
        <v/>
      </c>
    </row>
    <row r="354">
      <c r="A354" s="15">
        <f>IF(352/1000&lt;=Calculator!$B$27+0.0000001,352/1000,"")</f>
        <v/>
      </c>
      <c r="B354" s="15">
        <f>IF(A354="","",A354/Calculator!$B$27)</f>
        <v/>
      </c>
      <c r="C354" s="15">
        <f>IF(A354="","",Calculator!$B$27-A354)</f>
        <v/>
      </c>
      <c r="D354" s="17">
        <f>IF(A354="","",(Calculator!$B$11+C354)*Calculator!$B$5)</f>
        <v/>
      </c>
      <c r="E354" s="12">
        <f>IF(A354="","",IF(Calculator!$B$17=1,ROUNDUP(D354*Calculator!$B$8/3600/Calculator!$B$24-0.000000001,0),D354*Calculator!$B$8/3600/Calculator!$B$24))</f>
        <v/>
      </c>
      <c r="F354" s="16">
        <f>IF(A354="","",IF(Calculator!$B$16=1,Calculator!$B$27,A354)*Calculator!$B$5*Calculator!$B$15)</f>
        <v/>
      </c>
      <c r="G354" s="16">
        <f>IF(A354="","",E354*Calculator!$B$6+Calculator!$C$37+F354+Calculator!$B$30)</f>
        <v/>
      </c>
      <c r="H354" s="16">
        <f>IF(A354="","",Calculator!$B$40-G354)</f>
        <v/>
      </c>
      <c r="I354" s="17">
        <f>IF(A354="","",A354*Calculator!$B$5*Calculator!$B$8/3600)</f>
        <v/>
      </c>
      <c r="J354" s="12">
        <f>IF(A354="","",Calculator!$B$35-E354)</f>
        <v/>
      </c>
    </row>
    <row r="355">
      <c r="A355" s="15">
        <f>IF(353/1000&lt;=Calculator!$B$27+0.0000001,353/1000,"")</f>
        <v/>
      </c>
      <c r="B355" s="15">
        <f>IF(A355="","",A355/Calculator!$B$27)</f>
        <v/>
      </c>
      <c r="C355" s="15">
        <f>IF(A355="","",Calculator!$B$27-A355)</f>
        <v/>
      </c>
      <c r="D355" s="17">
        <f>IF(A355="","",(Calculator!$B$11+C355)*Calculator!$B$5)</f>
        <v/>
      </c>
      <c r="E355" s="12">
        <f>IF(A355="","",IF(Calculator!$B$17=1,ROUNDUP(D355*Calculator!$B$8/3600/Calculator!$B$24-0.000000001,0),D355*Calculator!$B$8/3600/Calculator!$B$24))</f>
        <v/>
      </c>
      <c r="F355" s="16">
        <f>IF(A355="","",IF(Calculator!$B$16=1,Calculator!$B$27,A355)*Calculator!$B$5*Calculator!$B$15)</f>
        <v/>
      </c>
      <c r="G355" s="16">
        <f>IF(A355="","",E355*Calculator!$B$6+Calculator!$C$37+F355+Calculator!$B$30)</f>
        <v/>
      </c>
      <c r="H355" s="16">
        <f>IF(A355="","",Calculator!$B$40-G355)</f>
        <v/>
      </c>
      <c r="I355" s="17">
        <f>IF(A355="","",A355*Calculator!$B$5*Calculator!$B$8/3600)</f>
        <v/>
      </c>
      <c r="J355" s="12">
        <f>IF(A355="","",Calculator!$B$35-E355)</f>
        <v/>
      </c>
    </row>
    <row r="356">
      <c r="A356" s="15">
        <f>IF(354/1000&lt;=Calculator!$B$27+0.0000001,354/1000,"")</f>
        <v/>
      </c>
      <c r="B356" s="15">
        <f>IF(A356="","",A356/Calculator!$B$27)</f>
        <v/>
      </c>
      <c r="C356" s="15">
        <f>IF(A356="","",Calculator!$B$27-A356)</f>
        <v/>
      </c>
      <c r="D356" s="17">
        <f>IF(A356="","",(Calculator!$B$11+C356)*Calculator!$B$5)</f>
        <v/>
      </c>
      <c r="E356" s="12">
        <f>IF(A356="","",IF(Calculator!$B$17=1,ROUNDUP(D356*Calculator!$B$8/3600/Calculator!$B$24-0.000000001,0),D356*Calculator!$B$8/3600/Calculator!$B$24))</f>
        <v/>
      </c>
      <c r="F356" s="16">
        <f>IF(A356="","",IF(Calculator!$B$16=1,Calculator!$B$27,A356)*Calculator!$B$5*Calculator!$B$15)</f>
        <v/>
      </c>
      <c r="G356" s="16">
        <f>IF(A356="","",E356*Calculator!$B$6+Calculator!$C$37+F356+Calculator!$B$30)</f>
        <v/>
      </c>
      <c r="H356" s="16">
        <f>IF(A356="","",Calculator!$B$40-G356)</f>
        <v/>
      </c>
      <c r="I356" s="17">
        <f>IF(A356="","",A356*Calculator!$B$5*Calculator!$B$8/3600)</f>
        <v/>
      </c>
      <c r="J356" s="12">
        <f>IF(A356="","",Calculator!$B$35-E356)</f>
        <v/>
      </c>
    </row>
    <row r="357">
      <c r="A357" s="15">
        <f>IF(355/1000&lt;=Calculator!$B$27+0.0000001,355/1000,"")</f>
        <v/>
      </c>
      <c r="B357" s="15">
        <f>IF(A357="","",A357/Calculator!$B$27)</f>
        <v/>
      </c>
      <c r="C357" s="15">
        <f>IF(A357="","",Calculator!$B$27-A357)</f>
        <v/>
      </c>
      <c r="D357" s="17">
        <f>IF(A357="","",(Calculator!$B$11+C357)*Calculator!$B$5)</f>
        <v/>
      </c>
      <c r="E357" s="12">
        <f>IF(A357="","",IF(Calculator!$B$17=1,ROUNDUP(D357*Calculator!$B$8/3600/Calculator!$B$24-0.000000001,0),D357*Calculator!$B$8/3600/Calculator!$B$24))</f>
        <v/>
      </c>
      <c r="F357" s="16">
        <f>IF(A357="","",IF(Calculator!$B$16=1,Calculator!$B$27,A357)*Calculator!$B$5*Calculator!$B$15)</f>
        <v/>
      </c>
      <c r="G357" s="16">
        <f>IF(A357="","",E357*Calculator!$B$6+Calculator!$C$37+F357+Calculator!$B$30)</f>
        <v/>
      </c>
      <c r="H357" s="16">
        <f>IF(A357="","",Calculator!$B$40-G357)</f>
        <v/>
      </c>
      <c r="I357" s="17">
        <f>IF(A357="","",A357*Calculator!$B$5*Calculator!$B$8/3600)</f>
        <v/>
      </c>
      <c r="J357" s="12">
        <f>IF(A357="","",Calculator!$B$35-E357)</f>
        <v/>
      </c>
    </row>
    <row r="358">
      <c r="A358" s="15">
        <f>IF(356/1000&lt;=Calculator!$B$27+0.0000001,356/1000,"")</f>
        <v/>
      </c>
      <c r="B358" s="15">
        <f>IF(A358="","",A358/Calculator!$B$27)</f>
        <v/>
      </c>
      <c r="C358" s="15">
        <f>IF(A358="","",Calculator!$B$27-A358)</f>
        <v/>
      </c>
      <c r="D358" s="17">
        <f>IF(A358="","",(Calculator!$B$11+C358)*Calculator!$B$5)</f>
        <v/>
      </c>
      <c r="E358" s="12">
        <f>IF(A358="","",IF(Calculator!$B$17=1,ROUNDUP(D358*Calculator!$B$8/3600/Calculator!$B$24-0.000000001,0),D358*Calculator!$B$8/3600/Calculator!$B$24))</f>
        <v/>
      </c>
      <c r="F358" s="16">
        <f>IF(A358="","",IF(Calculator!$B$16=1,Calculator!$B$27,A358)*Calculator!$B$5*Calculator!$B$15)</f>
        <v/>
      </c>
      <c r="G358" s="16">
        <f>IF(A358="","",E358*Calculator!$B$6+Calculator!$C$37+F358+Calculator!$B$30)</f>
        <v/>
      </c>
      <c r="H358" s="16">
        <f>IF(A358="","",Calculator!$B$40-G358)</f>
        <v/>
      </c>
      <c r="I358" s="17">
        <f>IF(A358="","",A358*Calculator!$B$5*Calculator!$B$8/3600)</f>
        <v/>
      </c>
      <c r="J358" s="12">
        <f>IF(A358="","",Calculator!$B$35-E358)</f>
        <v/>
      </c>
    </row>
    <row r="359">
      <c r="A359" s="15">
        <f>IF(357/1000&lt;=Calculator!$B$27+0.0000001,357/1000,"")</f>
        <v/>
      </c>
      <c r="B359" s="15">
        <f>IF(A359="","",A359/Calculator!$B$27)</f>
        <v/>
      </c>
      <c r="C359" s="15">
        <f>IF(A359="","",Calculator!$B$27-A359)</f>
        <v/>
      </c>
      <c r="D359" s="17">
        <f>IF(A359="","",(Calculator!$B$11+C359)*Calculator!$B$5)</f>
        <v/>
      </c>
      <c r="E359" s="12">
        <f>IF(A359="","",IF(Calculator!$B$17=1,ROUNDUP(D359*Calculator!$B$8/3600/Calculator!$B$24-0.000000001,0),D359*Calculator!$B$8/3600/Calculator!$B$24))</f>
        <v/>
      </c>
      <c r="F359" s="16">
        <f>IF(A359="","",IF(Calculator!$B$16=1,Calculator!$B$27,A359)*Calculator!$B$5*Calculator!$B$15)</f>
        <v/>
      </c>
      <c r="G359" s="16">
        <f>IF(A359="","",E359*Calculator!$B$6+Calculator!$C$37+F359+Calculator!$B$30)</f>
        <v/>
      </c>
      <c r="H359" s="16">
        <f>IF(A359="","",Calculator!$B$40-G359)</f>
        <v/>
      </c>
      <c r="I359" s="17">
        <f>IF(A359="","",A359*Calculator!$B$5*Calculator!$B$8/3600)</f>
        <v/>
      </c>
      <c r="J359" s="12">
        <f>IF(A359="","",Calculator!$B$35-E359)</f>
        <v/>
      </c>
    </row>
    <row r="360">
      <c r="A360" s="15">
        <f>IF(358/1000&lt;=Calculator!$B$27+0.0000001,358/1000,"")</f>
        <v/>
      </c>
      <c r="B360" s="15">
        <f>IF(A360="","",A360/Calculator!$B$27)</f>
        <v/>
      </c>
      <c r="C360" s="15">
        <f>IF(A360="","",Calculator!$B$27-A360)</f>
        <v/>
      </c>
      <c r="D360" s="17">
        <f>IF(A360="","",(Calculator!$B$11+C360)*Calculator!$B$5)</f>
        <v/>
      </c>
      <c r="E360" s="12">
        <f>IF(A360="","",IF(Calculator!$B$17=1,ROUNDUP(D360*Calculator!$B$8/3600/Calculator!$B$24-0.000000001,0),D360*Calculator!$B$8/3600/Calculator!$B$24))</f>
        <v/>
      </c>
      <c r="F360" s="16">
        <f>IF(A360="","",IF(Calculator!$B$16=1,Calculator!$B$27,A360)*Calculator!$B$5*Calculator!$B$15)</f>
        <v/>
      </c>
      <c r="G360" s="16">
        <f>IF(A360="","",E360*Calculator!$B$6+Calculator!$C$37+F360+Calculator!$B$30)</f>
        <v/>
      </c>
      <c r="H360" s="16">
        <f>IF(A360="","",Calculator!$B$40-G360)</f>
        <v/>
      </c>
      <c r="I360" s="17">
        <f>IF(A360="","",A360*Calculator!$B$5*Calculator!$B$8/3600)</f>
        <v/>
      </c>
      <c r="J360" s="12">
        <f>IF(A360="","",Calculator!$B$35-E360)</f>
        <v/>
      </c>
    </row>
    <row r="361">
      <c r="A361" s="15">
        <f>IF(359/1000&lt;=Calculator!$B$27+0.0000001,359/1000,"")</f>
        <v/>
      </c>
      <c r="B361" s="15">
        <f>IF(A361="","",A361/Calculator!$B$27)</f>
        <v/>
      </c>
      <c r="C361" s="15">
        <f>IF(A361="","",Calculator!$B$27-A361)</f>
        <v/>
      </c>
      <c r="D361" s="17">
        <f>IF(A361="","",(Calculator!$B$11+C361)*Calculator!$B$5)</f>
        <v/>
      </c>
      <c r="E361" s="12">
        <f>IF(A361="","",IF(Calculator!$B$17=1,ROUNDUP(D361*Calculator!$B$8/3600/Calculator!$B$24-0.000000001,0),D361*Calculator!$B$8/3600/Calculator!$B$24))</f>
        <v/>
      </c>
      <c r="F361" s="16">
        <f>IF(A361="","",IF(Calculator!$B$16=1,Calculator!$B$27,A361)*Calculator!$B$5*Calculator!$B$15)</f>
        <v/>
      </c>
      <c r="G361" s="16">
        <f>IF(A361="","",E361*Calculator!$B$6+Calculator!$C$37+F361+Calculator!$B$30)</f>
        <v/>
      </c>
      <c r="H361" s="16">
        <f>IF(A361="","",Calculator!$B$40-G361)</f>
        <v/>
      </c>
      <c r="I361" s="17">
        <f>IF(A361="","",A361*Calculator!$B$5*Calculator!$B$8/3600)</f>
        <v/>
      </c>
      <c r="J361" s="12">
        <f>IF(A361="","",Calculator!$B$35-E361)</f>
        <v/>
      </c>
    </row>
    <row r="362">
      <c r="A362" s="15">
        <f>IF(360/1000&lt;=Calculator!$B$27+0.0000001,360/1000,"")</f>
        <v/>
      </c>
      <c r="B362" s="15">
        <f>IF(A362="","",A362/Calculator!$B$27)</f>
        <v/>
      </c>
      <c r="C362" s="15">
        <f>IF(A362="","",Calculator!$B$27-A362)</f>
        <v/>
      </c>
      <c r="D362" s="17">
        <f>IF(A362="","",(Calculator!$B$11+C362)*Calculator!$B$5)</f>
        <v/>
      </c>
      <c r="E362" s="12">
        <f>IF(A362="","",IF(Calculator!$B$17=1,ROUNDUP(D362*Calculator!$B$8/3600/Calculator!$B$24-0.000000001,0),D362*Calculator!$B$8/3600/Calculator!$B$24))</f>
        <v/>
      </c>
      <c r="F362" s="16">
        <f>IF(A362="","",IF(Calculator!$B$16=1,Calculator!$B$27,A362)*Calculator!$B$5*Calculator!$B$15)</f>
        <v/>
      </c>
      <c r="G362" s="16">
        <f>IF(A362="","",E362*Calculator!$B$6+Calculator!$C$37+F362+Calculator!$B$30)</f>
        <v/>
      </c>
      <c r="H362" s="16">
        <f>IF(A362="","",Calculator!$B$40-G362)</f>
        <v/>
      </c>
      <c r="I362" s="17">
        <f>IF(A362="","",A362*Calculator!$B$5*Calculator!$B$8/3600)</f>
        <v/>
      </c>
      <c r="J362" s="12">
        <f>IF(A362="","",Calculator!$B$35-E362)</f>
        <v/>
      </c>
    </row>
    <row r="363">
      <c r="A363" s="15">
        <f>IF(361/1000&lt;=Calculator!$B$27+0.0000001,361/1000,"")</f>
        <v/>
      </c>
      <c r="B363" s="15">
        <f>IF(A363="","",A363/Calculator!$B$27)</f>
        <v/>
      </c>
      <c r="C363" s="15">
        <f>IF(A363="","",Calculator!$B$27-A363)</f>
        <v/>
      </c>
      <c r="D363" s="17">
        <f>IF(A363="","",(Calculator!$B$11+C363)*Calculator!$B$5)</f>
        <v/>
      </c>
      <c r="E363" s="12">
        <f>IF(A363="","",IF(Calculator!$B$17=1,ROUNDUP(D363*Calculator!$B$8/3600/Calculator!$B$24-0.000000001,0),D363*Calculator!$B$8/3600/Calculator!$B$24))</f>
        <v/>
      </c>
      <c r="F363" s="16">
        <f>IF(A363="","",IF(Calculator!$B$16=1,Calculator!$B$27,A363)*Calculator!$B$5*Calculator!$B$15)</f>
        <v/>
      </c>
      <c r="G363" s="16">
        <f>IF(A363="","",E363*Calculator!$B$6+Calculator!$C$37+F363+Calculator!$B$30)</f>
        <v/>
      </c>
      <c r="H363" s="16">
        <f>IF(A363="","",Calculator!$B$40-G363)</f>
        <v/>
      </c>
      <c r="I363" s="17">
        <f>IF(A363="","",A363*Calculator!$B$5*Calculator!$B$8/3600)</f>
        <v/>
      </c>
      <c r="J363" s="12">
        <f>IF(A363="","",Calculator!$B$35-E363)</f>
        <v/>
      </c>
    </row>
    <row r="364">
      <c r="A364" s="15">
        <f>IF(362/1000&lt;=Calculator!$B$27+0.0000001,362/1000,"")</f>
        <v/>
      </c>
      <c r="B364" s="15">
        <f>IF(A364="","",A364/Calculator!$B$27)</f>
        <v/>
      </c>
      <c r="C364" s="15">
        <f>IF(A364="","",Calculator!$B$27-A364)</f>
        <v/>
      </c>
      <c r="D364" s="17">
        <f>IF(A364="","",(Calculator!$B$11+C364)*Calculator!$B$5)</f>
        <v/>
      </c>
      <c r="E364" s="12">
        <f>IF(A364="","",IF(Calculator!$B$17=1,ROUNDUP(D364*Calculator!$B$8/3600/Calculator!$B$24-0.000000001,0),D364*Calculator!$B$8/3600/Calculator!$B$24))</f>
        <v/>
      </c>
      <c r="F364" s="16">
        <f>IF(A364="","",IF(Calculator!$B$16=1,Calculator!$B$27,A364)*Calculator!$B$5*Calculator!$B$15)</f>
        <v/>
      </c>
      <c r="G364" s="16">
        <f>IF(A364="","",E364*Calculator!$B$6+Calculator!$C$37+F364+Calculator!$B$30)</f>
        <v/>
      </c>
      <c r="H364" s="16">
        <f>IF(A364="","",Calculator!$B$40-G364)</f>
        <v/>
      </c>
      <c r="I364" s="17">
        <f>IF(A364="","",A364*Calculator!$B$5*Calculator!$B$8/3600)</f>
        <v/>
      </c>
      <c r="J364" s="12">
        <f>IF(A364="","",Calculator!$B$35-E364)</f>
        <v/>
      </c>
    </row>
    <row r="365">
      <c r="A365" s="15">
        <f>IF(363/1000&lt;=Calculator!$B$27+0.0000001,363/1000,"")</f>
        <v/>
      </c>
      <c r="B365" s="15">
        <f>IF(A365="","",A365/Calculator!$B$27)</f>
        <v/>
      </c>
      <c r="C365" s="15">
        <f>IF(A365="","",Calculator!$B$27-A365)</f>
        <v/>
      </c>
      <c r="D365" s="17">
        <f>IF(A365="","",(Calculator!$B$11+C365)*Calculator!$B$5)</f>
        <v/>
      </c>
      <c r="E365" s="12">
        <f>IF(A365="","",IF(Calculator!$B$17=1,ROUNDUP(D365*Calculator!$B$8/3600/Calculator!$B$24-0.000000001,0),D365*Calculator!$B$8/3600/Calculator!$B$24))</f>
        <v/>
      </c>
      <c r="F365" s="16">
        <f>IF(A365="","",IF(Calculator!$B$16=1,Calculator!$B$27,A365)*Calculator!$B$5*Calculator!$B$15)</f>
        <v/>
      </c>
      <c r="G365" s="16">
        <f>IF(A365="","",E365*Calculator!$B$6+Calculator!$C$37+F365+Calculator!$B$30)</f>
        <v/>
      </c>
      <c r="H365" s="16">
        <f>IF(A365="","",Calculator!$B$40-G365)</f>
        <v/>
      </c>
      <c r="I365" s="17">
        <f>IF(A365="","",A365*Calculator!$B$5*Calculator!$B$8/3600)</f>
        <v/>
      </c>
      <c r="J365" s="12">
        <f>IF(A365="","",Calculator!$B$35-E365)</f>
        <v/>
      </c>
    </row>
    <row r="366">
      <c r="A366" s="15">
        <f>IF(364/1000&lt;=Calculator!$B$27+0.0000001,364/1000,"")</f>
        <v/>
      </c>
      <c r="B366" s="15">
        <f>IF(A366="","",A366/Calculator!$B$27)</f>
        <v/>
      </c>
      <c r="C366" s="15">
        <f>IF(A366="","",Calculator!$B$27-A366)</f>
        <v/>
      </c>
      <c r="D366" s="17">
        <f>IF(A366="","",(Calculator!$B$11+C366)*Calculator!$B$5)</f>
        <v/>
      </c>
      <c r="E366" s="12">
        <f>IF(A366="","",IF(Calculator!$B$17=1,ROUNDUP(D366*Calculator!$B$8/3600/Calculator!$B$24-0.000000001,0),D366*Calculator!$B$8/3600/Calculator!$B$24))</f>
        <v/>
      </c>
      <c r="F366" s="16">
        <f>IF(A366="","",IF(Calculator!$B$16=1,Calculator!$B$27,A366)*Calculator!$B$5*Calculator!$B$15)</f>
        <v/>
      </c>
      <c r="G366" s="16">
        <f>IF(A366="","",E366*Calculator!$B$6+Calculator!$C$37+F366+Calculator!$B$30)</f>
        <v/>
      </c>
      <c r="H366" s="16">
        <f>IF(A366="","",Calculator!$B$40-G366)</f>
        <v/>
      </c>
      <c r="I366" s="17">
        <f>IF(A366="","",A366*Calculator!$B$5*Calculator!$B$8/3600)</f>
        <v/>
      </c>
      <c r="J366" s="12">
        <f>IF(A366="","",Calculator!$B$35-E366)</f>
        <v/>
      </c>
    </row>
    <row r="367">
      <c r="A367" s="15">
        <f>IF(365/1000&lt;=Calculator!$B$27+0.0000001,365/1000,"")</f>
        <v/>
      </c>
      <c r="B367" s="15">
        <f>IF(A367="","",A367/Calculator!$B$27)</f>
        <v/>
      </c>
      <c r="C367" s="15">
        <f>IF(A367="","",Calculator!$B$27-A367)</f>
        <v/>
      </c>
      <c r="D367" s="17">
        <f>IF(A367="","",(Calculator!$B$11+C367)*Calculator!$B$5)</f>
        <v/>
      </c>
      <c r="E367" s="12">
        <f>IF(A367="","",IF(Calculator!$B$17=1,ROUNDUP(D367*Calculator!$B$8/3600/Calculator!$B$24-0.000000001,0),D367*Calculator!$B$8/3600/Calculator!$B$24))</f>
        <v/>
      </c>
      <c r="F367" s="16">
        <f>IF(A367="","",IF(Calculator!$B$16=1,Calculator!$B$27,A367)*Calculator!$B$5*Calculator!$B$15)</f>
        <v/>
      </c>
      <c r="G367" s="16">
        <f>IF(A367="","",E367*Calculator!$B$6+Calculator!$C$37+F367+Calculator!$B$30)</f>
        <v/>
      </c>
      <c r="H367" s="16">
        <f>IF(A367="","",Calculator!$B$40-G367)</f>
        <v/>
      </c>
      <c r="I367" s="17">
        <f>IF(A367="","",A367*Calculator!$B$5*Calculator!$B$8/3600)</f>
        <v/>
      </c>
      <c r="J367" s="12">
        <f>IF(A367="","",Calculator!$B$35-E367)</f>
        <v/>
      </c>
    </row>
    <row r="368">
      <c r="A368" s="15">
        <f>IF(366/1000&lt;=Calculator!$B$27+0.0000001,366/1000,"")</f>
        <v/>
      </c>
      <c r="B368" s="15">
        <f>IF(A368="","",A368/Calculator!$B$27)</f>
        <v/>
      </c>
      <c r="C368" s="15">
        <f>IF(A368="","",Calculator!$B$27-A368)</f>
        <v/>
      </c>
      <c r="D368" s="17">
        <f>IF(A368="","",(Calculator!$B$11+C368)*Calculator!$B$5)</f>
        <v/>
      </c>
      <c r="E368" s="12">
        <f>IF(A368="","",IF(Calculator!$B$17=1,ROUNDUP(D368*Calculator!$B$8/3600/Calculator!$B$24-0.000000001,0),D368*Calculator!$B$8/3600/Calculator!$B$24))</f>
        <v/>
      </c>
      <c r="F368" s="16">
        <f>IF(A368="","",IF(Calculator!$B$16=1,Calculator!$B$27,A368)*Calculator!$B$5*Calculator!$B$15)</f>
        <v/>
      </c>
      <c r="G368" s="16">
        <f>IF(A368="","",E368*Calculator!$B$6+Calculator!$C$37+F368+Calculator!$B$30)</f>
        <v/>
      </c>
      <c r="H368" s="16">
        <f>IF(A368="","",Calculator!$B$40-G368)</f>
        <v/>
      </c>
      <c r="I368" s="17">
        <f>IF(A368="","",A368*Calculator!$B$5*Calculator!$B$8/3600)</f>
        <v/>
      </c>
      <c r="J368" s="12">
        <f>IF(A368="","",Calculator!$B$35-E368)</f>
        <v/>
      </c>
    </row>
    <row r="369">
      <c r="A369" s="15">
        <f>IF(367/1000&lt;=Calculator!$B$27+0.0000001,367/1000,"")</f>
        <v/>
      </c>
      <c r="B369" s="15">
        <f>IF(A369="","",A369/Calculator!$B$27)</f>
        <v/>
      </c>
      <c r="C369" s="15">
        <f>IF(A369="","",Calculator!$B$27-A369)</f>
        <v/>
      </c>
      <c r="D369" s="17">
        <f>IF(A369="","",(Calculator!$B$11+C369)*Calculator!$B$5)</f>
        <v/>
      </c>
      <c r="E369" s="12">
        <f>IF(A369="","",IF(Calculator!$B$17=1,ROUNDUP(D369*Calculator!$B$8/3600/Calculator!$B$24-0.000000001,0),D369*Calculator!$B$8/3600/Calculator!$B$24))</f>
        <v/>
      </c>
      <c r="F369" s="16">
        <f>IF(A369="","",IF(Calculator!$B$16=1,Calculator!$B$27,A369)*Calculator!$B$5*Calculator!$B$15)</f>
        <v/>
      </c>
      <c r="G369" s="16">
        <f>IF(A369="","",E369*Calculator!$B$6+Calculator!$C$37+F369+Calculator!$B$30)</f>
        <v/>
      </c>
      <c r="H369" s="16">
        <f>IF(A369="","",Calculator!$B$40-G369)</f>
        <v/>
      </c>
      <c r="I369" s="17">
        <f>IF(A369="","",A369*Calculator!$B$5*Calculator!$B$8/3600)</f>
        <v/>
      </c>
      <c r="J369" s="12">
        <f>IF(A369="","",Calculator!$B$35-E369)</f>
        <v/>
      </c>
    </row>
    <row r="370">
      <c r="A370" s="15">
        <f>IF(368/1000&lt;=Calculator!$B$27+0.0000001,368/1000,"")</f>
        <v/>
      </c>
      <c r="B370" s="15">
        <f>IF(A370="","",A370/Calculator!$B$27)</f>
        <v/>
      </c>
      <c r="C370" s="15">
        <f>IF(A370="","",Calculator!$B$27-A370)</f>
        <v/>
      </c>
      <c r="D370" s="17">
        <f>IF(A370="","",(Calculator!$B$11+C370)*Calculator!$B$5)</f>
        <v/>
      </c>
      <c r="E370" s="12">
        <f>IF(A370="","",IF(Calculator!$B$17=1,ROUNDUP(D370*Calculator!$B$8/3600/Calculator!$B$24-0.000000001,0),D370*Calculator!$B$8/3600/Calculator!$B$24))</f>
        <v/>
      </c>
      <c r="F370" s="16">
        <f>IF(A370="","",IF(Calculator!$B$16=1,Calculator!$B$27,A370)*Calculator!$B$5*Calculator!$B$15)</f>
        <v/>
      </c>
      <c r="G370" s="16">
        <f>IF(A370="","",E370*Calculator!$B$6+Calculator!$C$37+F370+Calculator!$B$30)</f>
        <v/>
      </c>
      <c r="H370" s="16">
        <f>IF(A370="","",Calculator!$B$40-G370)</f>
        <v/>
      </c>
      <c r="I370" s="17">
        <f>IF(A370="","",A370*Calculator!$B$5*Calculator!$B$8/3600)</f>
        <v/>
      </c>
      <c r="J370" s="12">
        <f>IF(A370="","",Calculator!$B$35-E370)</f>
        <v/>
      </c>
    </row>
    <row r="371">
      <c r="A371" s="15">
        <f>IF(369/1000&lt;=Calculator!$B$27+0.0000001,369/1000,"")</f>
        <v/>
      </c>
      <c r="B371" s="15">
        <f>IF(A371="","",A371/Calculator!$B$27)</f>
        <v/>
      </c>
      <c r="C371" s="15">
        <f>IF(A371="","",Calculator!$B$27-A371)</f>
        <v/>
      </c>
      <c r="D371" s="17">
        <f>IF(A371="","",(Calculator!$B$11+C371)*Calculator!$B$5)</f>
        <v/>
      </c>
      <c r="E371" s="12">
        <f>IF(A371="","",IF(Calculator!$B$17=1,ROUNDUP(D371*Calculator!$B$8/3600/Calculator!$B$24-0.000000001,0),D371*Calculator!$B$8/3600/Calculator!$B$24))</f>
        <v/>
      </c>
      <c r="F371" s="16">
        <f>IF(A371="","",IF(Calculator!$B$16=1,Calculator!$B$27,A371)*Calculator!$B$5*Calculator!$B$15)</f>
        <v/>
      </c>
      <c r="G371" s="16">
        <f>IF(A371="","",E371*Calculator!$B$6+Calculator!$C$37+F371+Calculator!$B$30)</f>
        <v/>
      </c>
      <c r="H371" s="16">
        <f>IF(A371="","",Calculator!$B$40-G371)</f>
        <v/>
      </c>
      <c r="I371" s="17">
        <f>IF(A371="","",A371*Calculator!$B$5*Calculator!$B$8/3600)</f>
        <v/>
      </c>
      <c r="J371" s="12">
        <f>IF(A371="","",Calculator!$B$35-E371)</f>
        <v/>
      </c>
    </row>
    <row r="372">
      <c r="A372" s="15">
        <f>IF(370/1000&lt;=Calculator!$B$27+0.0000001,370/1000,"")</f>
        <v/>
      </c>
      <c r="B372" s="15">
        <f>IF(A372="","",A372/Calculator!$B$27)</f>
        <v/>
      </c>
      <c r="C372" s="15">
        <f>IF(A372="","",Calculator!$B$27-A372)</f>
        <v/>
      </c>
      <c r="D372" s="17">
        <f>IF(A372="","",(Calculator!$B$11+C372)*Calculator!$B$5)</f>
        <v/>
      </c>
      <c r="E372" s="12">
        <f>IF(A372="","",IF(Calculator!$B$17=1,ROUNDUP(D372*Calculator!$B$8/3600/Calculator!$B$24-0.000000001,0),D372*Calculator!$B$8/3600/Calculator!$B$24))</f>
        <v/>
      </c>
      <c r="F372" s="16">
        <f>IF(A372="","",IF(Calculator!$B$16=1,Calculator!$B$27,A372)*Calculator!$B$5*Calculator!$B$15)</f>
        <v/>
      </c>
      <c r="G372" s="16">
        <f>IF(A372="","",E372*Calculator!$B$6+Calculator!$C$37+F372+Calculator!$B$30)</f>
        <v/>
      </c>
      <c r="H372" s="16">
        <f>IF(A372="","",Calculator!$B$40-G372)</f>
        <v/>
      </c>
      <c r="I372" s="17">
        <f>IF(A372="","",A372*Calculator!$B$5*Calculator!$B$8/3600)</f>
        <v/>
      </c>
      <c r="J372" s="12">
        <f>IF(A372="","",Calculator!$B$35-E372)</f>
        <v/>
      </c>
    </row>
    <row r="373">
      <c r="A373" s="15">
        <f>IF(371/1000&lt;=Calculator!$B$27+0.0000001,371/1000,"")</f>
        <v/>
      </c>
      <c r="B373" s="15">
        <f>IF(A373="","",A373/Calculator!$B$27)</f>
        <v/>
      </c>
      <c r="C373" s="15">
        <f>IF(A373="","",Calculator!$B$27-A373)</f>
        <v/>
      </c>
      <c r="D373" s="17">
        <f>IF(A373="","",(Calculator!$B$11+C373)*Calculator!$B$5)</f>
        <v/>
      </c>
      <c r="E373" s="12">
        <f>IF(A373="","",IF(Calculator!$B$17=1,ROUNDUP(D373*Calculator!$B$8/3600/Calculator!$B$24-0.000000001,0),D373*Calculator!$B$8/3600/Calculator!$B$24))</f>
        <v/>
      </c>
      <c r="F373" s="16">
        <f>IF(A373="","",IF(Calculator!$B$16=1,Calculator!$B$27,A373)*Calculator!$B$5*Calculator!$B$15)</f>
        <v/>
      </c>
      <c r="G373" s="16">
        <f>IF(A373="","",E373*Calculator!$B$6+Calculator!$C$37+F373+Calculator!$B$30)</f>
        <v/>
      </c>
      <c r="H373" s="16">
        <f>IF(A373="","",Calculator!$B$40-G373)</f>
        <v/>
      </c>
      <c r="I373" s="17">
        <f>IF(A373="","",A373*Calculator!$B$5*Calculator!$B$8/3600)</f>
        <v/>
      </c>
      <c r="J373" s="12">
        <f>IF(A373="","",Calculator!$B$35-E373)</f>
        <v/>
      </c>
    </row>
    <row r="374">
      <c r="A374" s="15">
        <f>IF(372/1000&lt;=Calculator!$B$27+0.0000001,372/1000,"")</f>
        <v/>
      </c>
      <c r="B374" s="15">
        <f>IF(A374="","",A374/Calculator!$B$27)</f>
        <v/>
      </c>
      <c r="C374" s="15">
        <f>IF(A374="","",Calculator!$B$27-A374)</f>
        <v/>
      </c>
      <c r="D374" s="17">
        <f>IF(A374="","",(Calculator!$B$11+C374)*Calculator!$B$5)</f>
        <v/>
      </c>
      <c r="E374" s="12">
        <f>IF(A374="","",IF(Calculator!$B$17=1,ROUNDUP(D374*Calculator!$B$8/3600/Calculator!$B$24-0.000000001,0),D374*Calculator!$B$8/3600/Calculator!$B$24))</f>
        <v/>
      </c>
      <c r="F374" s="16">
        <f>IF(A374="","",IF(Calculator!$B$16=1,Calculator!$B$27,A374)*Calculator!$B$5*Calculator!$B$15)</f>
        <v/>
      </c>
      <c r="G374" s="16">
        <f>IF(A374="","",E374*Calculator!$B$6+Calculator!$C$37+F374+Calculator!$B$30)</f>
        <v/>
      </c>
      <c r="H374" s="16">
        <f>IF(A374="","",Calculator!$B$40-G374)</f>
        <v/>
      </c>
      <c r="I374" s="17">
        <f>IF(A374="","",A374*Calculator!$B$5*Calculator!$B$8/3600)</f>
        <v/>
      </c>
      <c r="J374" s="12">
        <f>IF(A374="","",Calculator!$B$35-E374)</f>
        <v/>
      </c>
    </row>
    <row r="375">
      <c r="A375" s="15">
        <f>IF(373/1000&lt;=Calculator!$B$27+0.0000001,373/1000,"")</f>
        <v/>
      </c>
      <c r="B375" s="15">
        <f>IF(A375="","",A375/Calculator!$B$27)</f>
        <v/>
      </c>
      <c r="C375" s="15">
        <f>IF(A375="","",Calculator!$B$27-A375)</f>
        <v/>
      </c>
      <c r="D375" s="17">
        <f>IF(A375="","",(Calculator!$B$11+C375)*Calculator!$B$5)</f>
        <v/>
      </c>
      <c r="E375" s="12">
        <f>IF(A375="","",IF(Calculator!$B$17=1,ROUNDUP(D375*Calculator!$B$8/3600/Calculator!$B$24-0.000000001,0),D375*Calculator!$B$8/3600/Calculator!$B$24))</f>
        <v/>
      </c>
      <c r="F375" s="16">
        <f>IF(A375="","",IF(Calculator!$B$16=1,Calculator!$B$27,A375)*Calculator!$B$5*Calculator!$B$15)</f>
        <v/>
      </c>
      <c r="G375" s="16">
        <f>IF(A375="","",E375*Calculator!$B$6+Calculator!$C$37+F375+Calculator!$B$30)</f>
        <v/>
      </c>
      <c r="H375" s="16">
        <f>IF(A375="","",Calculator!$B$40-G375)</f>
        <v/>
      </c>
      <c r="I375" s="17">
        <f>IF(A375="","",A375*Calculator!$B$5*Calculator!$B$8/3600)</f>
        <v/>
      </c>
      <c r="J375" s="12">
        <f>IF(A375="","",Calculator!$B$35-E375)</f>
        <v/>
      </c>
    </row>
    <row r="376">
      <c r="A376" s="15">
        <f>IF(374/1000&lt;=Calculator!$B$27+0.0000001,374/1000,"")</f>
        <v/>
      </c>
      <c r="B376" s="15">
        <f>IF(A376="","",A376/Calculator!$B$27)</f>
        <v/>
      </c>
      <c r="C376" s="15">
        <f>IF(A376="","",Calculator!$B$27-A376)</f>
        <v/>
      </c>
      <c r="D376" s="17">
        <f>IF(A376="","",(Calculator!$B$11+C376)*Calculator!$B$5)</f>
        <v/>
      </c>
      <c r="E376" s="12">
        <f>IF(A376="","",IF(Calculator!$B$17=1,ROUNDUP(D376*Calculator!$B$8/3600/Calculator!$B$24-0.000000001,0),D376*Calculator!$B$8/3600/Calculator!$B$24))</f>
        <v/>
      </c>
      <c r="F376" s="16">
        <f>IF(A376="","",IF(Calculator!$B$16=1,Calculator!$B$27,A376)*Calculator!$B$5*Calculator!$B$15)</f>
        <v/>
      </c>
      <c r="G376" s="16">
        <f>IF(A376="","",E376*Calculator!$B$6+Calculator!$C$37+F376+Calculator!$B$30)</f>
        <v/>
      </c>
      <c r="H376" s="16">
        <f>IF(A376="","",Calculator!$B$40-G376)</f>
        <v/>
      </c>
      <c r="I376" s="17">
        <f>IF(A376="","",A376*Calculator!$B$5*Calculator!$B$8/3600)</f>
        <v/>
      </c>
      <c r="J376" s="12">
        <f>IF(A376="","",Calculator!$B$35-E376)</f>
        <v/>
      </c>
    </row>
    <row r="377">
      <c r="A377" s="15">
        <f>IF(375/1000&lt;=Calculator!$B$27+0.0000001,375/1000,"")</f>
        <v/>
      </c>
      <c r="B377" s="15">
        <f>IF(A377="","",A377/Calculator!$B$27)</f>
        <v/>
      </c>
      <c r="C377" s="15">
        <f>IF(A377="","",Calculator!$B$27-A377)</f>
        <v/>
      </c>
      <c r="D377" s="17">
        <f>IF(A377="","",(Calculator!$B$11+C377)*Calculator!$B$5)</f>
        <v/>
      </c>
      <c r="E377" s="12">
        <f>IF(A377="","",IF(Calculator!$B$17=1,ROUNDUP(D377*Calculator!$B$8/3600/Calculator!$B$24-0.000000001,0),D377*Calculator!$B$8/3600/Calculator!$B$24))</f>
        <v/>
      </c>
      <c r="F377" s="16">
        <f>IF(A377="","",IF(Calculator!$B$16=1,Calculator!$B$27,A377)*Calculator!$B$5*Calculator!$B$15)</f>
        <v/>
      </c>
      <c r="G377" s="16">
        <f>IF(A377="","",E377*Calculator!$B$6+Calculator!$C$37+F377+Calculator!$B$30)</f>
        <v/>
      </c>
      <c r="H377" s="16">
        <f>IF(A377="","",Calculator!$B$40-G377)</f>
        <v/>
      </c>
      <c r="I377" s="17">
        <f>IF(A377="","",A377*Calculator!$B$5*Calculator!$B$8/3600)</f>
        <v/>
      </c>
      <c r="J377" s="12">
        <f>IF(A377="","",Calculator!$B$35-E377)</f>
        <v/>
      </c>
    </row>
    <row r="378">
      <c r="A378" s="15">
        <f>IF(376/1000&lt;=Calculator!$B$27+0.0000001,376/1000,"")</f>
        <v/>
      </c>
      <c r="B378" s="15">
        <f>IF(A378="","",A378/Calculator!$B$27)</f>
        <v/>
      </c>
      <c r="C378" s="15">
        <f>IF(A378="","",Calculator!$B$27-A378)</f>
        <v/>
      </c>
      <c r="D378" s="17">
        <f>IF(A378="","",(Calculator!$B$11+C378)*Calculator!$B$5)</f>
        <v/>
      </c>
      <c r="E378" s="12">
        <f>IF(A378="","",IF(Calculator!$B$17=1,ROUNDUP(D378*Calculator!$B$8/3600/Calculator!$B$24-0.000000001,0),D378*Calculator!$B$8/3600/Calculator!$B$24))</f>
        <v/>
      </c>
      <c r="F378" s="16">
        <f>IF(A378="","",IF(Calculator!$B$16=1,Calculator!$B$27,A378)*Calculator!$B$5*Calculator!$B$15)</f>
        <v/>
      </c>
      <c r="G378" s="16">
        <f>IF(A378="","",E378*Calculator!$B$6+Calculator!$C$37+F378+Calculator!$B$30)</f>
        <v/>
      </c>
      <c r="H378" s="16">
        <f>IF(A378="","",Calculator!$B$40-G378)</f>
        <v/>
      </c>
      <c r="I378" s="17">
        <f>IF(A378="","",A378*Calculator!$B$5*Calculator!$B$8/3600)</f>
        <v/>
      </c>
      <c r="J378" s="12">
        <f>IF(A378="","",Calculator!$B$35-E378)</f>
        <v/>
      </c>
    </row>
    <row r="379">
      <c r="A379" s="15">
        <f>IF(377/1000&lt;=Calculator!$B$27+0.0000001,377/1000,"")</f>
        <v/>
      </c>
      <c r="B379" s="15">
        <f>IF(A379="","",A379/Calculator!$B$27)</f>
        <v/>
      </c>
      <c r="C379" s="15">
        <f>IF(A379="","",Calculator!$B$27-A379)</f>
        <v/>
      </c>
      <c r="D379" s="17">
        <f>IF(A379="","",(Calculator!$B$11+C379)*Calculator!$B$5)</f>
        <v/>
      </c>
      <c r="E379" s="12">
        <f>IF(A379="","",IF(Calculator!$B$17=1,ROUNDUP(D379*Calculator!$B$8/3600/Calculator!$B$24-0.000000001,0),D379*Calculator!$B$8/3600/Calculator!$B$24))</f>
        <v/>
      </c>
      <c r="F379" s="16">
        <f>IF(A379="","",IF(Calculator!$B$16=1,Calculator!$B$27,A379)*Calculator!$B$5*Calculator!$B$15)</f>
        <v/>
      </c>
      <c r="G379" s="16">
        <f>IF(A379="","",E379*Calculator!$B$6+Calculator!$C$37+F379+Calculator!$B$30)</f>
        <v/>
      </c>
      <c r="H379" s="16">
        <f>IF(A379="","",Calculator!$B$40-G379)</f>
        <v/>
      </c>
      <c r="I379" s="17">
        <f>IF(A379="","",A379*Calculator!$B$5*Calculator!$B$8/3600)</f>
        <v/>
      </c>
      <c r="J379" s="12">
        <f>IF(A379="","",Calculator!$B$35-E379)</f>
        <v/>
      </c>
    </row>
    <row r="380">
      <c r="A380" s="15">
        <f>IF(378/1000&lt;=Calculator!$B$27+0.0000001,378/1000,"")</f>
        <v/>
      </c>
      <c r="B380" s="15">
        <f>IF(A380="","",A380/Calculator!$B$27)</f>
        <v/>
      </c>
      <c r="C380" s="15">
        <f>IF(A380="","",Calculator!$B$27-A380)</f>
        <v/>
      </c>
      <c r="D380" s="17">
        <f>IF(A380="","",(Calculator!$B$11+C380)*Calculator!$B$5)</f>
        <v/>
      </c>
      <c r="E380" s="12">
        <f>IF(A380="","",IF(Calculator!$B$17=1,ROUNDUP(D380*Calculator!$B$8/3600/Calculator!$B$24-0.000000001,0),D380*Calculator!$B$8/3600/Calculator!$B$24))</f>
        <v/>
      </c>
      <c r="F380" s="16">
        <f>IF(A380="","",IF(Calculator!$B$16=1,Calculator!$B$27,A380)*Calculator!$B$5*Calculator!$B$15)</f>
        <v/>
      </c>
      <c r="G380" s="16">
        <f>IF(A380="","",E380*Calculator!$B$6+Calculator!$C$37+F380+Calculator!$B$30)</f>
        <v/>
      </c>
      <c r="H380" s="16">
        <f>IF(A380="","",Calculator!$B$40-G380)</f>
        <v/>
      </c>
      <c r="I380" s="17">
        <f>IF(A380="","",A380*Calculator!$B$5*Calculator!$B$8/3600)</f>
        <v/>
      </c>
      <c r="J380" s="12">
        <f>IF(A380="","",Calculator!$B$35-E380)</f>
        <v/>
      </c>
    </row>
    <row r="381">
      <c r="A381" s="15">
        <f>IF(379/1000&lt;=Calculator!$B$27+0.0000001,379/1000,"")</f>
        <v/>
      </c>
      <c r="B381" s="15">
        <f>IF(A381="","",A381/Calculator!$B$27)</f>
        <v/>
      </c>
      <c r="C381" s="15">
        <f>IF(A381="","",Calculator!$B$27-A381)</f>
        <v/>
      </c>
      <c r="D381" s="17">
        <f>IF(A381="","",(Calculator!$B$11+C381)*Calculator!$B$5)</f>
        <v/>
      </c>
      <c r="E381" s="12">
        <f>IF(A381="","",IF(Calculator!$B$17=1,ROUNDUP(D381*Calculator!$B$8/3600/Calculator!$B$24-0.000000001,0),D381*Calculator!$B$8/3600/Calculator!$B$24))</f>
        <v/>
      </c>
      <c r="F381" s="16">
        <f>IF(A381="","",IF(Calculator!$B$16=1,Calculator!$B$27,A381)*Calculator!$B$5*Calculator!$B$15)</f>
        <v/>
      </c>
      <c r="G381" s="16">
        <f>IF(A381="","",E381*Calculator!$B$6+Calculator!$C$37+F381+Calculator!$B$30)</f>
        <v/>
      </c>
      <c r="H381" s="16">
        <f>IF(A381="","",Calculator!$B$40-G381)</f>
        <v/>
      </c>
      <c r="I381" s="17">
        <f>IF(A381="","",A381*Calculator!$B$5*Calculator!$B$8/3600)</f>
        <v/>
      </c>
      <c r="J381" s="12">
        <f>IF(A381="","",Calculator!$B$35-E381)</f>
        <v/>
      </c>
    </row>
    <row r="382">
      <c r="A382" s="15">
        <f>IF(380/1000&lt;=Calculator!$B$27+0.0000001,380/1000,"")</f>
        <v/>
      </c>
      <c r="B382" s="15">
        <f>IF(A382="","",A382/Calculator!$B$27)</f>
        <v/>
      </c>
      <c r="C382" s="15">
        <f>IF(A382="","",Calculator!$B$27-A382)</f>
        <v/>
      </c>
      <c r="D382" s="17">
        <f>IF(A382="","",(Calculator!$B$11+C382)*Calculator!$B$5)</f>
        <v/>
      </c>
      <c r="E382" s="12">
        <f>IF(A382="","",IF(Calculator!$B$17=1,ROUNDUP(D382*Calculator!$B$8/3600/Calculator!$B$24-0.000000001,0),D382*Calculator!$B$8/3600/Calculator!$B$24))</f>
        <v/>
      </c>
      <c r="F382" s="16">
        <f>IF(A382="","",IF(Calculator!$B$16=1,Calculator!$B$27,A382)*Calculator!$B$5*Calculator!$B$15)</f>
        <v/>
      </c>
      <c r="G382" s="16">
        <f>IF(A382="","",E382*Calculator!$B$6+Calculator!$C$37+F382+Calculator!$B$30)</f>
        <v/>
      </c>
      <c r="H382" s="16">
        <f>IF(A382="","",Calculator!$B$40-G382)</f>
        <v/>
      </c>
      <c r="I382" s="17">
        <f>IF(A382="","",A382*Calculator!$B$5*Calculator!$B$8/3600)</f>
        <v/>
      </c>
      <c r="J382" s="12">
        <f>IF(A382="","",Calculator!$B$35-E382)</f>
        <v/>
      </c>
    </row>
    <row r="383">
      <c r="A383" s="15">
        <f>IF(381/1000&lt;=Calculator!$B$27+0.0000001,381/1000,"")</f>
        <v/>
      </c>
      <c r="B383" s="15">
        <f>IF(A383="","",A383/Calculator!$B$27)</f>
        <v/>
      </c>
      <c r="C383" s="15">
        <f>IF(A383="","",Calculator!$B$27-A383)</f>
        <v/>
      </c>
      <c r="D383" s="17">
        <f>IF(A383="","",(Calculator!$B$11+C383)*Calculator!$B$5)</f>
        <v/>
      </c>
      <c r="E383" s="12">
        <f>IF(A383="","",IF(Calculator!$B$17=1,ROUNDUP(D383*Calculator!$B$8/3600/Calculator!$B$24-0.000000001,0),D383*Calculator!$B$8/3600/Calculator!$B$24))</f>
        <v/>
      </c>
      <c r="F383" s="16">
        <f>IF(A383="","",IF(Calculator!$B$16=1,Calculator!$B$27,A383)*Calculator!$B$5*Calculator!$B$15)</f>
        <v/>
      </c>
      <c r="G383" s="16">
        <f>IF(A383="","",E383*Calculator!$B$6+Calculator!$C$37+F383+Calculator!$B$30)</f>
        <v/>
      </c>
      <c r="H383" s="16">
        <f>IF(A383="","",Calculator!$B$40-G383)</f>
        <v/>
      </c>
      <c r="I383" s="17">
        <f>IF(A383="","",A383*Calculator!$B$5*Calculator!$B$8/3600)</f>
        <v/>
      </c>
      <c r="J383" s="12">
        <f>IF(A383="","",Calculator!$B$35-E383)</f>
        <v/>
      </c>
    </row>
    <row r="384">
      <c r="A384" s="15">
        <f>IF(382/1000&lt;=Calculator!$B$27+0.0000001,382/1000,"")</f>
        <v/>
      </c>
      <c r="B384" s="15">
        <f>IF(A384="","",A384/Calculator!$B$27)</f>
        <v/>
      </c>
      <c r="C384" s="15">
        <f>IF(A384="","",Calculator!$B$27-A384)</f>
        <v/>
      </c>
      <c r="D384" s="17">
        <f>IF(A384="","",(Calculator!$B$11+C384)*Calculator!$B$5)</f>
        <v/>
      </c>
      <c r="E384" s="12">
        <f>IF(A384="","",IF(Calculator!$B$17=1,ROUNDUP(D384*Calculator!$B$8/3600/Calculator!$B$24-0.000000001,0),D384*Calculator!$B$8/3600/Calculator!$B$24))</f>
        <v/>
      </c>
      <c r="F384" s="16">
        <f>IF(A384="","",IF(Calculator!$B$16=1,Calculator!$B$27,A384)*Calculator!$B$5*Calculator!$B$15)</f>
        <v/>
      </c>
      <c r="G384" s="16">
        <f>IF(A384="","",E384*Calculator!$B$6+Calculator!$C$37+F384+Calculator!$B$30)</f>
        <v/>
      </c>
      <c r="H384" s="16">
        <f>IF(A384="","",Calculator!$B$40-G384)</f>
        <v/>
      </c>
      <c r="I384" s="17">
        <f>IF(A384="","",A384*Calculator!$B$5*Calculator!$B$8/3600)</f>
        <v/>
      </c>
      <c r="J384" s="12">
        <f>IF(A384="","",Calculator!$B$35-E384)</f>
        <v/>
      </c>
    </row>
    <row r="385">
      <c r="A385" s="15">
        <f>IF(383/1000&lt;=Calculator!$B$27+0.0000001,383/1000,"")</f>
        <v/>
      </c>
      <c r="B385" s="15">
        <f>IF(A385="","",A385/Calculator!$B$27)</f>
        <v/>
      </c>
      <c r="C385" s="15">
        <f>IF(A385="","",Calculator!$B$27-A385)</f>
        <v/>
      </c>
      <c r="D385" s="17">
        <f>IF(A385="","",(Calculator!$B$11+C385)*Calculator!$B$5)</f>
        <v/>
      </c>
      <c r="E385" s="12">
        <f>IF(A385="","",IF(Calculator!$B$17=1,ROUNDUP(D385*Calculator!$B$8/3600/Calculator!$B$24-0.000000001,0),D385*Calculator!$B$8/3600/Calculator!$B$24))</f>
        <v/>
      </c>
      <c r="F385" s="16">
        <f>IF(A385="","",IF(Calculator!$B$16=1,Calculator!$B$27,A385)*Calculator!$B$5*Calculator!$B$15)</f>
        <v/>
      </c>
      <c r="G385" s="16">
        <f>IF(A385="","",E385*Calculator!$B$6+Calculator!$C$37+F385+Calculator!$B$30)</f>
        <v/>
      </c>
      <c r="H385" s="16">
        <f>IF(A385="","",Calculator!$B$40-G385)</f>
        <v/>
      </c>
      <c r="I385" s="17">
        <f>IF(A385="","",A385*Calculator!$B$5*Calculator!$B$8/3600)</f>
        <v/>
      </c>
      <c r="J385" s="12">
        <f>IF(A385="","",Calculator!$B$35-E385)</f>
        <v/>
      </c>
    </row>
    <row r="386">
      <c r="A386" s="15">
        <f>IF(384/1000&lt;=Calculator!$B$27+0.0000001,384/1000,"")</f>
        <v/>
      </c>
      <c r="B386" s="15">
        <f>IF(A386="","",A386/Calculator!$B$27)</f>
        <v/>
      </c>
      <c r="C386" s="15">
        <f>IF(A386="","",Calculator!$B$27-A386)</f>
        <v/>
      </c>
      <c r="D386" s="17">
        <f>IF(A386="","",(Calculator!$B$11+C386)*Calculator!$B$5)</f>
        <v/>
      </c>
      <c r="E386" s="12">
        <f>IF(A386="","",IF(Calculator!$B$17=1,ROUNDUP(D386*Calculator!$B$8/3600/Calculator!$B$24-0.000000001,0),D386*Calculator!$B$8/3600/Calculator!$B$24))</f>
        <v/>
      </c>
      <c r="F386" s="16">
        <f>IF(A386="","",IF(Calculator!$B$16=1,Calculator!$B$27,A386)*Calculator!$B$5*Calculator!$B$15)</f>
        <v/>
      </c>
      <c r="G386" s="16">
        <f>IF(A386="","",E386*Calculator!$B$6+Calculator!$C$37+F386+Calculator!$B$30)</f>
        <v/>
      </c>
      <c r="H386" s="16">
        <f>IF(A386="","",Calculator!$B$40-G386)</f>
        <v/>
      </c>
      <c r="I386" s="17">
        <f>IF(A386="","",A386*Calculator!$B$5*Calculator!$B$8/3600)</f>
        <v/>
      </c>
      <c r="J386" s="12">
        <f>IF(A386="","",Calculator!$B$35-E386)</f>
        <v/>
      </c>
    </row>
    <row r="387">
      <c r="A387" s="15">
        <f>IF(385/1000&lt;=Calculator!$B$27+0.0000001,385/1000,"")</f>
        <v/>
      </c>
      <c r="B387" s="15">
        <f>IF(A387="","",A387/Calculator!$B$27)</f>
        <v/>
      </c>
      <c r="C387" s="15">
        <f>IF(A387="","",Calculator!$B$27-A387)</f>
        <v/>
      </c>
      <c r="D387" s="17">
        <f>IF(A387="","",(Calculator!$B$11+C387)*Calculator!$B$5)</f>
        <v/>
      </c>
      <c r="E387" s="12">
        <f>IF(A387="","",IF(Calculator!$B$17=1,ROUNDUP(D387*Calculator!$B$8/3600/Calculator!$B$24-0.000000001,0),D387*Calculator!$B$8/3600/Calculator!$B$24))</f>
        <v/>
      </c>
      <c r="F387" s="16">
        <f>IF(A387="","",IF(Calculator!$B$16=1,Calculator!$B$27,A387)*Calculator!$B$5*Calculator!$B$15)</f>
        <v/>
      </c>
      <c r="G387" s="16">
        <f>IF(A387="","",E387*Calculator!$B$6+Calculator!$C$37+F387+Calculator!$B$30)</f>
        <v/>
      </c>
      <c r="H387" s="16">
        <f>IF(A387="","",Calculator!$B$40-G387)</f>
        <v/>
      </c>
      <c r="I387" s="17">
        <f>IF(A387="","",A387*Calculator!$B$5*Calculator!$B$8/3600)</f>
        <v/>
      </c>
      <c r="J387" s="12">
        <f>IF(A387="","",Calculator!$B$35-E387)</f>
        <v/>
      </c>
    </row>
    <row r="388">
      <c r="A388" s="15">
        <f>IF(386/1000&lt;=Calculator!$B$27+0.0000001,386/1000,"")</f>
        <v/>
      </c>
      <c r="B388" s="15">
        <f>IF(A388="","",A388/Calculator!$B$27)</f>
        <v/>
      </c>
      <c r="C388" s="15">
        <f>IF(A388="","",Calculator!$B$27-A388)</f>
        <v/>
      </c>
      <c r="D388" s="17">
        <f>IF(A388="","",(Calculator!$B$11+C388)*Calculator!$B$5)</f>
        <v/>
      </c>
      <c r="E388" s="12">
        <f>IF(A388="","",IF(Calculator!$B$17=1,ROUNDUP(D388*Calculator!$B$8/3600/Calculator!$B$24-0.000000001,0),D388*Calculator!$B$8/3600/Calculator!$B$24))</f>
        <v/>
      </c>
      <c r="F388" s="16">
        <f>IF(A388="","",IF(Calculator!$B$16=1,Calculator!$B$27,A388)*Calculator!$B$5*Calculator!$B$15)</f>
        <v/>
      </c>
      <c r="G388" s="16">
        <f>IF(A388="","",E388*Calculator!$B$6+Calculator!$C$37+F388+Calculator!$B$30)</f>
        <v/>
      </c>
      <c r="H388" s="16">
        <f>IF(A388="","",Calculator!$B$40-G388)</f>
        <v/>
      </c>
      <c r="I388" s="17">
        <f>IF(A388="","",A388*Calculator!$B$5*Calculator!$B$8/3600)</f>
        <v/>
      </c>
      <c r="J388" s="12">
        <f>IF(A388="","",Calculator!$B$35-E388)</f>
        <v/>
      </c>
    </row>
    <row r="389">
      <c r="A389" s="15">
        <f>IF(387/1000&lt;=Calculator!$B$27+0.0000001,387/1000,"")</f>
        <v/>
      </c>
      <c r="B389" s="15">
        <f>IF(A389="","",A389/Calculator!$B$27)</f>
        <v/>
      </c>
      <c r="C389" s="15">
        <f>IF(A389="","",Calculator!$B$27-A389)</f>
        <v/>
      </c>
      <c r="D389" s="17">
        <f>IF(A389="","",(Calculator!$B$11+C389)*Calculator!$B$5)</f>
        <v/>
      </c>
      <c r="E389" s="12">
        <f>IF(A389="","",IF(Calculator!$B$17=1,ROUNDUP(D389*Calculator!$B$8/3600/Calculator!$B$24-0.000000001,0),D389*Calculator!$B$8/3600/Calculator!$B$24))</f>
        <v/>
      </c>
      <c r="F389" s="16">
        <f>IF(A389="","",IF(Calculator!$B$16=1,Calculator!$B$27,A389)*Calculator!$B$5*Calculator!$B$15)</f>
        <v/>
      </c>
      <c r="G389" s="16">
        <f>IF(A389="","",E389*Calculator!$B$6+Calculator!$C$37+F389+Calculator!$B$30)</f>
        <v/>
      </c>
      <c r="H389" s="16">
        <f>IF(A389="","",Calculator!$B$40-G389)</f>
        <v/>
      </c>
      <c r="I389" s="17">
        <f>IF(A389="","",A389*Calculator!$B$5*Calculator!$B$8/3600)</f>
        <v/>
      </c>
      <c r="J389" s="12">
        <f>IF(A389="","",Calculator!$B$35-E389)</f>
        <v/>
      </c>
    </row>
    <row r="390">
      <c r="A390" s="15">
        <f>IF(388/1000&lt;=Calculator!$B$27+0.0000001,388/1000,"")</f>
        <v/>
      </c>
      <c r="B390" s="15">
        <f>IF(A390="","",A390/Calculator!$B$27)</f>
        <v/>
      </c>
      <c r="C390" s="15">
        <f>IF(A390="","",Calculator!$B$27-A390)</f>
        <v/>
      </c>
      <c r="D390" s="17">
        <f>IF(A390="","",(Calculator!$B$11+C390)*Calculator!$B$5)</f>
        <v/>
      </c>
      <c r="E390" s="12">
        <f>IF(A390="","",IF(Calculator!$B$17=1,ROUNDUP(D390*Calculator!$B$8/3600/Calculator!$B$24-0.000000001,0),D390*Calculator!$B$8/3600/Calculator!$B$24))</f>
        <v/>
      </c>
      <c r="F390" s="16">
        <f>IF(A390="","",IF(Calculator!$B$16=1,Calculator!$B$27,A390)*Calculator!$B$5*Calculator!$B$15)</f>
        <v/>
      </c>
      <c r="G390" s="16">
        <f>IF(A390="","",E390*Calculator!$B$6+Calculator!$C$37+F390+Calculator!$B$30)</f>
        <v/>
      </c>
      <c r="H390" s="16">
        <f>IF(A390="","",Calculator!$B$40-G390)</f>
        <v/>
      </c>
      <c r="I390" s="17">
        <f>IF(A390="","",A390*Calculator!$B$5*Calculator!$B$8/3600)</f>
        <v/>
      </c>
      <c r="J390" s="12">
        <f>IF(A390="","",Calculator!$B$35-E390)</f>
        <v/>
      </c>
    </row>
    <row r="391">
      <c r="A391" s="15">
        <f>IF(389/1000&lt;=Calculator!$B$27+0.0000001,389/1000,"")</f>
        <v/>
      </c>
      <c r="B391" s="15">
        <f>IF(A391="","",A391/Calculator!$B$27)</f>
        <v/>
      </c>
      <c r="C391" s="15">
        <f>IF(A391="","",Calculator!$B$27-A391)</f>
        <v/>
      </c>
      <c r="D391" s="17">
        <f>IF(A391="","",(Calculator!$B$11+C391)*Calculator!$B$5)</f>
        <v/>
      </c>
      <c r="E391" s="12">
        <f>IF(A391="","",IF(Calculator!$B$17=1,ROUNDUP(D391*Calculator!$B$8/3600/Calculator!$B$24-0.000000001,0),D391*Calculator!$B$8/3600/Calculator!$B$24))</f>
        <v/>
      </c>
      <c r="F391" s="16">
        <f>IF(A391="","",IF(Calculator!$B$16=1,Calculator!$B$27,A391)*Calculator!$B$5*Calculator!$B$15)</f>
        <v/>
      </c>
      <c r="G391" s="16">
        <f>IF(A391="","",E391*Calculator!$B$6+Calculator!$C$37+F391+Calculator!$B$30)</f>
        <v/>
      </c>
      <c r="H391" s="16">
        <f>IF(A391="","",Calculator!$B$40-G391)</f>
        <v/>
      </c>
      <c r="I391" s="17">
        <f>IF(A391="","",A391*Calculator!$B$5*Calculator!$B$8/3600)</f>
        <v/>
      </c>
      <c r="J391" s="12">
        <f>IF(A391="","",Calculator!$B$35-E391)</f>
        <v/>
      </c>
    </row>
    <row r="392">
      <c r="A392" s="15">
        <f>IF(390/1000&lt;=Calculator!$B$27+0.0000001,390/1000,"")</f>
        <v/>
      </c>
      <c r="B392" s="15">
        <f>IF(A392="","",A392/Calculator!$B$27)</f>
        <v/>
      </c>
      <c r="C392" s="15">
        <f>IF(A392="","",Calculator!$B$27-A392)</f>
        <v/>
      </c>
      <c r="D392" s="17">
        <f>IF(A392="","",(Calculator!$B$11+C392)*Calculator!$B$5)</f>
        <v/>
      </c>
      <c r="E392" s="12">
        <f>IF(A392="","",IF(Calculator!$B$17=1,ROUNDUP(D392*Calculator!$B$8/3600/Calculator!$B$24-0.000000001,0),D392*Calculator!$B$8/3600/Calculator!$B$24))</f>
        <v/>
      </c>
      <c r="F392" s="16">
        <f>IF(A392="","",IF(Calculator!$B$16=1,Calculator!$B$27,A392)*Calculator!$B$5*Calculator!$B$15)</f>
        <v/>
      </c>
      <c r="G392" s="16">
        <f>IF(A392="","",E392*Calculator!$B$6+Calculator!$C$37+F392+Calculator!$B$30)</f>
        <v/>
      </c>
      <c r="H392" s="16">
        <f>IF(A392="","",Calculator!$B$40-G392)</f>
        <v/>
      </c>
      <c r="I392" s="17">
        <f>IF(A392="","",A392*Calculator!$B$5*Calculator!$B$8/3600)</f>
        <v/>
      </c>
      <c r="J392" s="12">
        <f>IF(A392="","",Calculator!$B$35-E392)</f>
        <v/>
      </c>
    </row>
    <row r="393">
      <c r="A393" s="15">
        <f>IF(391/1000&lt;=Calculator!$B$27+0.0000001,391/1000,"")</f>
        <v/>
      </c>
      <c r="B393" s="15">
        <f>IF(A393="","",A393/Calculator!$B$27)</f>
        <v/>
      </c>
      <c r="C393" s="15">
        <f>IF(A393="","",Calculator!$B$27-A393)</f>
        <v/>
      </c>
      <c r="D393" s="17">
        <f>IF(A393="","",(Calculator!$B$11+C393)*Calculator!$B$5)</f>
        <v/>
      </c>
      <c r="E393" s="12">
        <f>IF(A393="","",IF(Calculator!$B$17=1,ROUNDUP(D393*Calculator!$B$8/3600/Calculator!$B$24-0.000000001,0),D393*Calculator!$B$8/3600/Calculator!$B$24))</f>
        <v/>
      </c>
      <c r="F393" s="16">
        <f>IF(A393="","",IF(Calculator!$B$16=1,Calculator!$B$27,A393)*Calculator!$B$5*Calculator!$B$15)</f>
        <v/>
      </c>
      <c r="G393" s="16">
        <f>IF(A393="","",E393*Calculator!$B$6+Calculator!$C$37+F393+Calculator!$B$30)</f>
        <v/>
      </c>
      <c r="H393" s="16">
        <f>IF(A393="","",Calculator!$B$40-G393)</f>
        <v/>
      </c>
      <c r="I393" s="17">
        <f>IF(A393="","",A393*Calculator!$B$5*Calculator!$B$8/3600)</f>
        <v/>
      </c>
      <c r="J393" s="12">
        <f>IF(A393="","",Calculator!$B$35-E393)</f>
        <v/>
      </c>
    </row>
    <row r="394">
      <c r="A394" s="15">
        <f>IF(392/1000&lt;=Calculator!$B$27+0.0000001,392/1000,"")</f>
        <v/>
      </c>
      <c r="B394" s="15">
        <f>IF(A394="","",A394/Calculator!$B$27)</f>
        <v/>
      </c>
      <c r="C394" s="15">
        <f>IF(A394="","",Calculator!$B$27-A394)</f>
        <v/>
      </c>
      <c r="D394" s="17">
        <f>IF(A394="","",(Calculator!$B$11+C394)*Calculator!$B$5)</f>
        <v/>
      </c>
      <c r="E394" s="12">
        <f>IF(A394="","",IF(Calculator!$B$17=1,ROUNDUP(D394*Calculator!$B$8/3600/Calculator!$B$24-0.000000001,0),D394*Calculator!$B$8/3600/Calculator!$B$24))</f>
        <v/>
      </c>
      <c r="F394" s="16">
        <f>IF(A394="","",IF(Calculator!$B$16=1,Calculator!$B$27,A394)*Calculator!$B$5*Calculator!$B$15)</f>
        <v/>
      </c>
      <c r="G394" s="16">
        <f>IF(A394="","",E394*Calculator!$B$6+Calculator!$C$37+F394+Calculator!$B$30)</f>
        <v/>
      </c>
      <c r="H394" s="16">
        <f>IF(A394="","",Calculator!$B$40-G394)</f>
        <v/>
      </c>
      <c r="I394" s="17">
        <f>IF(A394="","",A394*Calculator!$B$5*Calculator!$B$8/3600)</f>
        <v/>
      </c>
      <c r="J394" s="12">
        <f>IF(A394="","",Calculator!$B$35-E394)</f>
        <v/>
      </c>
    </row>
    <row r="395">
      <c r="A395" s="15">
        <f>IF(393/1000&lt;=Calculator!$B$27+0.0000001,393/1000,"")</f>
        <v/>
      </c>
      <c r="B395" s="15">
        <f>IF(A395="","",A395/Calculator!$B$27)</f>
        <v/>
      </c>
      <c r="C395" s="15">
        <f>IF(A395="","",Calculator!$B$27-A395)</f>
        <v/>
      </c>
      <c r="D395" s="17">
        <f>IF(A395="","",(Calculator!$B$11+C395)*Calculator!$B$5)</f>
        <v/>
      </c>
      <c r="E395" s="12">
        <f>IF(A395="","",IF(Calculator!$B$17=1,ROUNDUP(D395*Calculator!$B$8/3600/Calculator!$B$24-0.000000001,0),D395*Calculator!$B$8/3600/Calculator!$B$24))</f>
        <v/>
      </c>
      <c r="F395" s="16">
        <f>IF(A395="","",IF(Calculator!$B$16=1,Calculator!$B$27,A395)*Calculator!$B$5*Calculator!$B$15)</f>
        <v/>
      </c>
      <c r="G395" s="16">
        <f>IF(A395="","",E395*Calculator!$B$6+Calculator!$C$37+F395+Calculator!$B$30)</f>
        <v/>
      </c>
      <c r="H395" s="16">
        <f>IF(A395="","",Calculator!$B$40-G395)</f>
        <v/>
      </c>
      <c r="I395" s="17">
        <f>IF(A395="","",A395*Calculator!$B$5*Calculator!$B$8/3600)</f>
        <v/>
      </c>
      <c r="J395" s="12">
        <f>IF(A395="","",Calculator!$B$35-E395)</f>
        <v/>
      </c>
    </row>
    <row r="396">
      <c r="A396" s="15">
        <f>IF(394/1000&lt;=Calculator!$B$27+0.0000001,394/1000,"")</f>
        <v/>
      </c>
      <c r="B396" s="15">
        <f>IF(A396="","",A396/Calculator!$B$27)</f>
        <v/>
      </c>
      <c r="C396" s="15">
        <f>IF(A396="","",Calculator!$B$27-A396)</f>
        <v/>
      </c>
      <c r="D396" s="17">
        <f>IF(A396="","",(Calculator!$B$11+C396)*Calculator!$B$5)</f>
        <v/>
      </c>
      <c r="E396" s="12">
        <f>IF(A396="","",IF(Calculator!$B$17=1,ROUNDUP(D396*Calculator!$B$8/3600/Calculator!$B$24-0.000000001,0),D396*Calculator!$B$8/3600/Calculator!$B$24))</f>
        <v/>
      </c>
      <c r="F396" s="16">
        <f>IF(A396="","",IF(Calculator!$B$16=1,Calculator!$B$27,A396)*Calculator!$B$5*Calculator!$B$15)</f>
        <v/>
      </c>
      <c r="G396" s="16">
        <f>IF(A396="","",E396*Calculator!$B$6+Calculator!$C$37+F396+Calculator!$B$30)</f>
        <v/>
      </c>
      <c r="H396" s="16">
        <f>IF(A396="","",Calculator!$B$40-G396)</f>
        <v/>
      </c>
      <c r="I396" s="17">
        <f>IF(A396="","",A396*Calculator!$B$5*Calculator!$B$8/3600)</f>
        <v/>
      </c>
      <c r="J396" s="12">
        <f>IF(A396="","",Calculator!$B$35-E396)</f>
        <v/>
      </c>
    </row>
    <row r="397">
      <c r="A397" s="15">
        <f>IF(395/1000&lt;=Calculator!$B$27+0.0000001,395/1000,"")</f>
        <v/>
      </c>
      <c r="B397" s="15">
        <f>IF(A397="","",A397/Calculator!$B$27)</f>
        <v/>
      </c>
      <c r="C397" s="15">
        <f>IF(A397="","",Calculator!$B$27-A397)</f>
        <v/>
      </c>
      <c r="D397" s="17">
        <f>IF(A397="","",(Calculator!$B$11+C397)*Calculator!$B$5)</f>
        <v/>
      </c>
      <c r="E397" s="12">
        <f>IF(A397="","",IF(Calculator!$B$17=1,ROUNDUP(D397*Calculator!$B$8/3600/Calculator!$B$24-0.000000001,0),D397*Calculator!$B$8/3600/Calculator!$B$24))</f>
        <v/>
      </c>
      <c r="F397" s="16">
        <f>IF(A397="","",IF(Calculator!$B$16=1,Calculator!$B$27,A397)*Calculator!$B$5*Calculator!$B$15)</f>
        <v/>
      </c>
      <c r="G397" s="16">
        <f>IF(A397="","",E397*Calculator!$B$6+Calculator!$C$37+F397+Calculator!$B$30)</f>
        <v/>
      </c>
      <c r="H397" s="16">
        <f>IF(A397="","",Calculator!$B$40-G397)</f>
        <v/>
      </c>
      <c r="I397" s="17">
        <f>IF(A397="","",A397*Calculator!$B$5*Calculator!$B$8/3600)</f>
        <v/>
      </c>
      <c r="J397" s="12">
        <f>IF(A397="","",Calculator!$B$35-E397)</f>
        <v/>
      </c>
    </row>
    <row r="398">
      <c r="A398" s="15">
        <f>IF(396/1000&lt;=Calculator!$B$27+0.0000001,396/1000,"")</f>
        <v/>
      </c>
      <c r="B398" s="15">
        <f>IF(A398="","",A398/Calculator!$B$27)</f>
        <v/>
      </c>
      <c r="C398" s="15">
        <f>IF(A398="","",Calculator!$B$27-A398)</f>
        <v/>
      </c>
      <c r="D398" s="17">
        <f>IF(A398="","",(Calculator!$B$11+C398)*Calculator!$B$5)</f>
        <v/>
      </c>
      <c r="E398" s="12">
        <f>IF(A398="","",IF(Calculator!$B$17=1,ROUNDUP(D398*Calculator!$B$8/3600/Calculator!$B$24-0.000000001,0),D398*Calculator!$B$8/3600/Calculator!$B$24))</f>
        <v/>
      </c>
      <c r="F398" s="16">
        <f>IF(A398="","",IF(Calculator!$B$16=1,Calculator!$B$27,A398)*Calculator!$B$5*Calculator!$B$15)</f>
        <v/>
      </c>
      <c r="G398" s="16">
        <f>IF(A398="","",E398*Calculator!$B$6+Calculator!$C$37+F398+Calculator!$B$30)</f>
        <v/>
      </c>
      <c r="H398" s="16">
        <f>IF(A398="","",Calculator!$B$40-G398)</f>
        <v/>
      </c>
      <c r="I398" s="17">
        <f>IF(A398="","",A398*Calculator!$B$5*Calculator!$B$8/3600)</f>
        <v/>
      </c>
      <c r="J398" s="12">
        <f>IF(A398="","",Calculator!$B$35-E398)</f>
        <v/>
      </c>
    </row>
    <row r="399">
      <c r="A399" s="15">
        <f>IF(397/1000&lt;=Calculator!$B$27+0.0000001,397/1000,"")</f>
        <v/>
      </c>
      <c r="B399" s="15">
        <f>IF(A399="","",A399/Calculator!$B$27)</f>
        <v/>
      </c>
      <c r="C399" s="15">
        <f>IF(A399="","",Calculator!$B$27-A399)</f>
        <v/>
      </c>
      <c r="D399" s="17">
        <f>IF(A399="","",(Calculator!$B$11+C399)*Calculator!$B$5)</f>
        <v/>
      </c>
      <c r="E399" s="12">
        <f>IF(A399="","",IF(Calculator!$B$17=1,ROUNDUP(D399*Calculator!$B$8/3600/Calculator!$B$24-0.000000001,0),D399*Calculator!$B$8/3600/Calculator!$B$24))</f>
        <v/>
      </c>
      <c r="F399" s="16">
        <f>IF(A399="","",IF(Calculator!$B$16=1,Calculator!$B$27,A399)*Calculator!$B$5*Calculator!$B$15)</f>
        <v/>
      </c>
      <c r="G399" s="16">
        <f>IF(A399="","",E399*Calculator!$B$6+Calculator!$C$37+F399+Calculator!$B$30)</f>
        <v/>
      </c>
      <c r="H399" s="16">
        <f>IF(A399="","",Calculator!$B$40-G399)</f>
        <v/>
      </c>
      <c r="I399" s="17">
        <f>IF(A399="","",A399*Calculator!$B$5*Calculator!$B$8/3600)</f>
        <v/>
      </c>
      <c r="J399" s="12">
        <f>IF(A399="","",Calculator!$B$35-E399)</f>
        <v/>
      </c>
    </row>
    <row r="400">
      <c r="A400" s="15">
        <f>IF(398/1000&lt;=Calculator!$B$27+0.0000001,398/1000,"")</f>
        <v/>
      </c>
      <c r="B400" s="15">
        <f>IF(A400="","",A400/Calculator!$B$27)</f>
        <v/>
      </c>
      <c r="C400" s="15">
        <f>IF(A400="","",Calculator!$B$27-A400)</f>
        <v/>
      </c>
      <c r="D400" s="17">
        <f>IF(A400="","",(Calculator!$B$11+C400)*Calculator!$B$5)</f>
        <v/>
      </c>
      <c r="E400" s="12">
        <f>IF(A400="","",IF(Calculator!$B$17=1,ROUNDUP(D400*Calculator!$B$8/3600/Calculator!$B$24-0.000000001,0),D400*Calculator!$B$8/3600/Calculator!$B$24))</f>
        <v/>
      </c>
      <c r="F400" s="16">
        <f>IF(A400="","",IF(Calculator!$B$16=1,Calculator!$B$27,A400)*Calculator!$B$5*Calculator!$B$15)</f>
        <v/>
      </c>
      <c r="G400" s="16">
        <f>IF(A400="","",E400*Calculator!$B$6+Calculator!$C$37+F400+Calculator!$B$30)</f>
        <v/>
      </c>
      <c r="H400" s="16">
        <f>IF(A400="","",Calculator!$B$40-G400)</f>
        <v/>
      </c>
      <c r="I400" s="17">
        <f>IF(A400="","",A400*Calculator!$B$5*Calculator!$B$8/3600)</f>
        <v/>
      </c>
      <c r="J400" s="12">
        <f>IF(A400="","",Calculator!$B$35-E400)</f>
        <v/>
      </c>
    </row>
    <row r="401">
      <c r="A401" s="15">
        <f>IF(399/1000&lt;=Calculator!$B$27+0.0000001,399/1000,"")</f>
        <v/>
      </c>
      <c r="B401" s="15">
        <f>IF(A401="","",A401/Calculator!$B$27)</f>
        <v/>
      </c>
      <c r="C401" s="15">
        <f>IF(A401="","",Calculator!$B$27-A401)</f>
        <v/>
      </c>
      <c r="D401" s="17">
        <f>IF(A401="","",(Calculator!$B$11+C401)*Calculator!$B$5)</f>
        <v/>
      </c>
      <c r="E401" s="12">
        <f>IF(A401="","",IF(Calculator!$B$17=1,ROUNDUP(D401*Calculator!$B$8/3600/Calculator!$B$24-0.000000001,0),D401*Calculator!$B$8/3600/Calculator!$B$24))</f>
        <v/>
      </c>
      <c r="F401" s="16">
        <f>IF(A401="","",IF(Calculator!$B$16=1,Calculator!$B$27,A401)*Calculator!$B$5*Calculator!$B$15)</f>
        <v/>
      </c>
      <c r="G401" s="16">
        <f>IF(A401="","",E401*Calculator!$B$6+Calculator!$C$37+F401+Calculator!$B$30)</f>
        <v/>
      </c>
      <c r="H401" s="16">
        <f>IF(A401="","",Calculator!$B$40-G401)</f>
        <v/>
      </c>
      <c r="I401" s="17">
        <f>IF(A401="","",A401*Calculator!$B$5*Calculator!$B$8/3600)</f>
        <v/>
      </c>
      <c r="J401" s="12">
        <f>IF(A401="","",Calculator!$B$35-E401)</f>
        <v/>
      </c>
    </row>
    <row r="402">
      <c r="A402" s="15">
        <f>IF(400/1000&lt;=Calculator!$B$27+0.0000001,400/1000,"")</f>
        <v/>
      </c>
      <c r="B402" s="15">
        <f>IF(A402="","",A402/Calculator!$B$27)</f>
        <v/>
      </c>
      <c r="C402" s="15">
        <f>IF(A402="","",Calculator!$B$27-A402)</f>
        <v/>
      </c>
      <c r="D402" s="17">
        <f>IF(A402="","",(Calculator!$B$11+C402)*Calculator!$B$5)</f>
        <v/>
      </c>
      <c r="E402" s="12">
        <f>IF(A402="","",IF(Calculator!$B$17=1,ROUNDUP(D402*Calculator!$B$8/3600/Calculator!$B$24-0.000000001,0),D402*Calculator!$B$8/3600/Calculator!$B$24))</f>
        <v/>
      </c>
      <c r="F402" s="16">
        <f>IF(A402="","",IF(Calculator!$B$16=1,Calculator!$B$27,A402)*Calculator!$B$5*Calculator!$B$15)</f>
        <v/>
      </c>
      <c r="G402" s="16">
        <f>IF(A402="","",E402*Calculator!$B$6+Calculator!$C$37+F402+Calculator!$B$30)</f>
        <v/>
      </c>
      <c r="H402" s="16">
        <f>IF(A402="","",Calculator!$B$40-G402)</f>
        <v/>
      </c>
      <c r="I402" s="17">
        <f>IF(A402="","",A402*Calculator!$B$5*Calculator!$B$8/3600)</f>
        <v/>
      </c>
      <c r="J402" s="12">
        <f>IF(A402="","",Calculator!$B$35-E402)</f>
        <v/>
      </c>
    </row>
    <row r="403">
      <c r="A403" s="15">
        <f>IF(401/1000&lt;=Calculator!$B$27+0.0000001,401/1000,"")</f>
        <v/>
      </c>
      <c r="B403" s="15">
        <f>IF(A403="","",A403/Calculator!$B$27)</f>
        <v/>
      </c>
      <c r="C403" s="15">
        <f>IF(A403="","",Calculator!$B$27-A403)</f>
        <v/>
      </c>
      <c r="D403" s="17">
        <f>IF(A403="","",(Calculator!$B$11+C403)*Calculator!$B$5)</f>
        <v/>
      </c>
      <c r="E403" s="12">
        <f>IF(A403="","",IF(Calculator!$B$17=1,ROUNDUP(D403*Calculator!$B$8/3600/Calculator!$B$24-0.000000001,0),D403*Calculator!$B$8/3600/Calculator!$B$24))</f>
        <v/>
      </c>
      <c r="F403" s="16">
        <f>IF(A403="","",IF(Calculator!$B$16=1,Calculator!$B$27,A403)*Calculator!$B$5*Calculator!$B$15)</f>
        <v/>
      </c>
      <c r="G403" s="16">
        <f>IF(A403="","",E403*Calculator!$B$6+Calculator!$C$37+F403+Calculator!$B$30)</f>
        <v/>
      </c>
      <c r="H403" s="16">
        <f>IF(A403="","",Calculator!$B$40-G403)</f>
        <v/>
      </c>
      <c r="I403" s="17">
        <f>IF(A403="","",A403*Calculator!$B$5*Calculator!$B$8/3600)</f>
        <v/>
      </c>
      <c r="J403" s="12">
        <f>IF(A403="","",Calculator!$B$35-E403)</f>
        <v/>
      </c>
    </row>
    <row r="404">
      <c r="A404" s="15">
        <f>IF(402/1000&lt;=Calculator!$B$27+0.0000001,402/1000,"")</f>
        <v/>
      </c>
      <c r="B404" s="15">
        <f>IF(A404="","",A404/Calculator!$B$27)</f>
        <v/>
      </c>
      <c r="C404" s="15">
        <f>IF(A404="","",Calculator!$B$27-A404)</f>
        <v/>
      </c>
      <c r="D404" s="17">
        <f>IF(A404="","",(Calculator!$B$11+C404)*Calculator!$B$5)</f>
        <v/>
      </c>
      <c r="E404" s="12">
        <f>IF(A404="","",IF(Calculator!$B$17=1,ROUNDUP(D404*Calculator!$B$8/3600/Calculator!$B$24-0.000000001,0),D404*Calculator!$B$8/3600/Calculator!$B$24))</f>
        <v/>
      </c>
      <c r="F404" s="16">
        <f>IF(A404="","",IF(Calculator!$B$16=1,Calculator!$B$27,A404)*Calculator!$B$5*Calculator!$B$15)</f>
        <v/>
      </c>
      <c r="G404" s="16">
        <f>IF(A404="","",E404*Calculator!$B$6+Calculator!$C$37+F404+Calculator!$B$30)</f>
        <v/>
      </c>
      <c r="H404" s="16">
        <f>IF(A404="","",Calculator!$B$40-G404)</f>
        <v/>
      </c>
      <c r="I404" s="17">
        <f>IF(A404="","",A404*Calculator!$B$5*Calculator!$B$8/3600)</f>
        <v/>
      </c>
      <c r="J404" s="12">
        <f>IF(A404="","",Calculator!$B$35-E404)</f>
        <v/>
      </c>
    </row>
    <row r="405">
      <c r="A405" s="15">
        <f>IF(403/1000&lt;=Calculator!$B$27+0.0000001,403/1000,"")</f>
        <v/>
      </c>
      <c r="B405" s="15">
        <f>IF(A405="","",A405/Calculator!$B$27)</f>
        <v/>
      </c>
      <c r="C405" s="15">
        <f>IF(A405="","",Calculator!$B$27-A405)</f>
        <v/>
      </c>
      <c r="D405" s="17">
        <f>IF(A405="","",(Calculator!$B$11+C405)*Calculator!$B$5)</f>
        <v/>
      </c>
      <c r="E405" s="12">
        <f>IF(A405="","",IF(Calculator!$B$17=1,ROUNDUP(D405*Calculator!$B$8/3600/Calculator!$B$24-0.000000001,0),D405*Calculator!$B$8/3600/Calculator!$B$24))</f>
        <v/>
      </c>
      <c r="F405" s="16">
        <f>IF(A405="","",IF(Calculator!$B$16=1,Calculator!$B$27,A405)*Calculator!$B$5*Calculator!$B$15)</f>
        <v/>
      </c>
      <c r="G405" s="16">
        <f>IF(A405="","",E405*Calculator!$B$6+Calculator!$C$37+F405+Calculator!$B$30)</f>
        <v/>
      </c>
      <c r="H405" s="16">
        <f>IF(A405="","",Calculator!$B$40-G405)</f>
        <v/>
      </c>
      <c r="I405" s="17">
        <f>IF(A405="","",A405*Calculator!$B$5*Calculator!$B$8/3600)</f>
        <v/>
      </c>
      <c r="J405" s="12">
        <f>IF(A405="","",Calculator!$B$35-E405)</f>
        <v/>
      </c>
    </row>
    <row r="406">
      <c r="A406" s="15">
        <f>IF(404/1000&lt;=Calculator!$B$27+0.0000001,404/1000,"")</f>
        <v/>
      </c>
      <c r="B406" s="15">
        <f>IF(A406="","",A406/Calculator!$B$27)</f>
        <v/>
      </c>
      <c r="C406" s="15">
        <f>IF(A406="","",Calculator!$B$27-A406)</f>
        <v/>
      </c>
      <c r="D406" s="17">
        <f>IF(A406="","",(Calculator!$B$11+C406)*Calculator!$B$5)</f>
        <v/>
      </c>
      <c r="E406" s="12">
        <f>IF(A406="","",IF(Calculator!$B$17=1,ROUNDUP(D406*Calculator!$B$8/3600/Calculator!$B$24-0.000000001,0),D406*Calculator!$B$8/3600/Calculator!$B$24))</f>
        <v/>
      </c>
      <c r="F406" s="16">
        <f>IF(A406="","",IF(Calculator!$B$16=1,Calculator!$B$27,A406)*Calculator!$B$5*Calculator!$B$15)</f>
        <v/>
      </c>
      <c r="G406" s="16">
        <f>IF(A406="","",E406*Calculator!$B$6+Calculator!$C$37+F406+Calculator!$B$30)</f>
        <v/>
      </c>
      <c r="H406" s="16">
        <f>IF(A406="","",Calculator!$B$40-G406)</f>
        <v/>
      </c>
      <c r="I406" s="17">
        <f>IF(A406="","",A406*Calculator!$B$5*Calculator!$B$8/3600)</f>
        <v/>
      </c>
      <c r="J406" s="12">
        <f>IF(A406="","",Calculator!$B$35-E406)</f>
        <v/>
      </c>
    </row>
    <row r="407">
      <c r="A407" s="15">
        <f>IF(405/1000&lt;=Calculator!$B$27+0.0000001,405/1000,"")</f>
        <v/>
      </c>
      <c r="B407" s="15">
        <f>IF(A407="","",A407/Calculator!$B$27)</f>
        <v/>
      </c>
      <c r="C407" s="15">
        <f>IF(A407="","",Calculator!$B$27-A407)</f>
        <v/>
      </c>
      <c r="D407" s="17">
        <f>IF(A407="","",(Calculator!$B$11+C407)*Calculator!$B$5)</f>
        <v/>
      </c>
      <c r="E407" s="12">
        <f>IF(A407="","",IF(Calculator!$B$17=1,ROUNDUP(D407*Calculator!$B$8/3600/Calculator!$B$24-0.000000001,0),D407*Calculator!$B$8/3600/Calculator!$B$24))</f>
        <v/>
      </c>
      <c r="F407" s="16">
        <f>IF(A407="","",IF(Calculator!$B$16=1,Calculator!$B$27,A407)*Calculator!$B$5*Calculator!$B$15)</f>
        <v/>
      </c>
      <c r="G407" s="16">
        <f>IF(A407="","",E407*Calculator!$B$6+Calculator!$C$37+F407+Calculator!$B$30)</f>
        <v/>
      </c>
      <c r="H407" s="16">
        <f>IF(A407="","",Calculator!$B$40-G407)</f>
        <v/>
      </c>
      <c r="I407" s="17">
        <f>IF(A407="","",A407*Calculator!$B$5*Calculator!$B$8/3600)</f>
        <v/>
      </c>
      <c r="J407" s="12">
        <f>IF(A407="","",Calculator!$B$35-E407)</f>
        <v/>
      </c>
    </row>
    <row r="408">
      <c r="A408" s="15">
        <f>IF(406/1000&lt;=Calculator!$B$27+0.0000001,406/1000,"")</f>
        <v/>
      </c>
      <c r="B408" s="15">
        <f>IF(A408="","",A408/Calculator!$B$27)</f>
        <v/>
      </c>
      <c r="C408" s="15">
        <f>IF(A408="","",Calculator!$B$27-A408)</f>
        <v/>
      </c>
      <c r="D408" s="17">
        <f>IF(A408="","",(Calculator!$B$11+C408)*Calculator!$B$5)</f>
        <v/>
      </c>
      <c r="E408" s="12">
        <f>IF(A408="","",IF(Calculator!$B$17=1,ROUNDUP(D408*Calculator!$B$8/3600/Calculator!$B$24-0.000000001,0),D408*Calculator!$B$8/3600/Calculator!$B$24))</f>
        <v/>
      </c>
      <c r="F408" s="16">
        <f>IF(A408="","",IF(Calculator!$B$16=1,Calculator!$B$27,A408)*Calculator!$B$5*Calculator!$B$15)</f>
        <v/>
      </c>
      <c r="G408" s="16">
        <f>IF(A408="","",E408*Calculator!$B$6+Calculator!$C$37+F408+Calculator!$B$30)</f>
        <v/>
      </c>
      <c r="H408" s="16">
        <f>IF(A408="","",Calculator!$B$40-G408)</f>
        <v/>
      </c>
      <c r="I408" s="17">
        <f>IF(A408="","",A408*Calculator!$B$5*Calculator!$B$8/3600)</f>
        <v/>
      </c>
      <c r="J408" s="12">
        <f>IF(A408="","",Calculator!$B$35-E408)</f>
        <v/>
      </c>
    </row>
    <row r="409">
      <c r="A409" s="15">
        <f>IF(407/1000&lt;=Calculator!$B$27+0.0000001,407/1000,"")</f>
        <v/>
      </c>
      <c r="B409" s="15">
        <f>IF(A409="","",A409/Calculator!$B$27)</f>
        <v/>
      </c>
      <c r="C409" s="15">
        <f>IF(A409="","",Calculator!$B$27-A409)</f>
        <v/>
      </c>
      <c r="D409" s="17">
        <f>IF(A409="","",(Calculator!$B$11+C409)*Calculator!$B$5)</f>
        <v/>
      </c>
      <c r="E409" s="12">
        <f>IF(A409="","",IF(Calculator!$B$17=1,ROUNDUP(D409*Calculator!$B$8/3600/Calculator!$B$24-0.000000001,0),D409*Calculator!$B$8/3600/Calculator!$B$24))</f>
        <v/>
      </c>
      <c r="F409" s="16">
        <f>IF(A409="","",IF(Calculator!$B$16=1,Calculator!$B$27,A409)*Calculator!$B$5*Calculator!$B$15)</f>
        <v/>
      </c>
      <c r="G409" s="16">
        <f>IF(A409="","",E409*Calculator!$B$6+Calculator!$C$37+F409+Calculator!$B$30)</f>
        <v/>
      </c>
      <c r="H409" s="16">
        <f>IF(A409="","",Calculator!$B$40-G409)</f>
        <v/>
      </c>
      <c r="I409" s="17">
        <f>IF(A409="","",A409*Calculator!$B$5*Calculator!$B$8/3600)</f>
        <v/>
      </c>
      <c r="J409" s="12">
        <f>IF(A409="","",Calculator!$B$35-E409)</f>
        <v/>
      </c>
    </row>
    <row r="410">
      <c r="A410" s="15">
        <f>IF(408/1000&lt;=Calculator!$B$27+0.0000001,408/1000,"")</f>
        <v/>
      </c>
      <c r="B410" s="15">
        <f>IF(A410="","",A410/Calculator!$B$27)</f>
        <v/>
      </c>
      <c r="C410" s="15">
        <f>IF(A410="","",Calculator!$B$27-A410)</f>
        <v/>
      </c>
      <c r="D410" s="17">
        <f>IF(A410="","",(Calculator!$B$11+C410)*Calculator!$B$5)</f>
        <v/>
      </c>
      <c r="E410" s="12">
        <f>IF(A410="","",IF(Calculator!$B$17=1,ROUNDUP(D410*Calculator!$B$8/3600/Calculator!$B$24-0.000000001,0),D410*Calculator!$B$8/3600/Calculator!$B$24))</f>
        <v/>
      </c>
      <c r="F410" s="16">
        <f>IF(A410="","",IF(Calculator!$B$16=1,Calculator!$B$27,A410)*Calculator!$B$5*Calculator!$B$15)</f>
        <v/>
      </c>
      <c r="G410" s="16">
        <f>IF(A410="","",E410*Calculator!$B$6+Calculator!$C$37+F410+Calculator!$B$30)</f>
        <v/>
      </c>
      <c r="H410" s="16">
        <f>IF(A410="","",Calculator!$B$40-G410)</f>
        <v/>
      </c>
      <c r="I410" s="17">
        <f>IF(A410="","",A410*Calculator!$B$5*Calculator!$B$8/3600)</f>
        <v/>
      </c>
      <c r="J410" s="12">
        <f>IF(A410="","",Calculator!$B$35-E410)</f>
        <v/>
      </c>
    </row>
    <row r="411">
      <c r="A411" s="15">
        <f>IF(409/1000&lt;=Calculator!$B$27+0.0000001,409/1000,"")</f>
        <v/>
      </c>
      <c r="B411" s="15">
        <f>IF(A411="","",A411/Calculator!$B$27)</f>
        <v/>
      </c>
      <c r="C411" s="15">
        <f>IF(A411="","",Calculator!$B$27-A411)</f>
        <v/>
      </c>
      <c r="D411" s="17">
        <f>IF(A411="","",(Calculator!$B$11+C411)*Calculator!$B$5)</f>
        <v/>
      </c>
      <c r="E411" s="12">
        <f>IF(A411="","",IF(Calculator!$B$17=1,ROUNDUP(D411*Calculator!$B$8/3600/Calculator!$B$24-0.000000001,0),D411*Calculator!$B$8/3600/Calculator!$B$24))</f>
        <v/>
      </c>
      <c r="F411" s="16">
        <f>IF(A411="","",IF(Calculator!$B$16=1,Calculator!$B$27,A411)*Calculator!$B$5*Calculator!$B$15)</f>
        <v/>
      </c>
      <c r="G411" s="16">
        <f>IF(A411="","",E411*Calculator!$B$6+Calculator!$C$37+F411+Calculator!$B$30)</f>
        <v/>
      </c>
      <c r="H411" s="16">
        <f>IF(A411="","",Calculator!$B$40-G411)</f>
        <v/>
      </c>
      <c r="I411" s="17">
        <f>IF(A411="","",A411*Calculator!$B$5*Calculator!$B$8/3600)</f>
        <v/>
      </c>
      <c r="J411" s="12">
        <f>IF(A411="","",Calculator!$B$35-E411)</f>
        <v/>
      </c>
    </row>
    <row r="412">
      <c r="A412" s="15">
        <f>IF(410/1000&lt;=Calculator!$B$27+0.0000001,410/1000,"")</f>
        <v/>
      </c>
      <c r="B412" s="15">
        <f>IF(A412="","",A412/Calculator!$B$27)</f>
        <v/>
      </c>
      <c r="C412" s="15">
        <f>IF(A412="","",Calculator!$B$27-A412)</f>
        <v/>
      </c>
      <c r="D412" s="17">
        <f>IF(A412="","",(Calculator!$B$11+C412)*Calculator!$B$5)</f>
        <v/>
      </c>
      <c r="E412" s="12">
        <f>IF(A412="","",IF(Calculator!$B$17=1,ROUNDUP(D412*Calculator!$B$8/3600/Calculator!$B$24-0.000000001,0),D412*Calculator!$B$8/3600/Calculator!$B$24))</f>
        <v/>
      </c>
      <c r="F412" s="16">
        <f>IF(A412="","",IF(Calculator!$B$16=1,Calculator!$B$27,A412)*Calculator!$B$5*Calculator!$B$15)</f>
        <v/>
      </c>
      <c r="G412" s="16">
        <f>IF(A412="","",E412*Calculator!$B$6+Calculator!$C$37+F412+Calculator!$B$30)</f>
        <v/>
      </c>
      <c r="H412" s="16">
        <f>IF(A412="","",Calculator!$B$40-G412)</f>
        <v/>
      </c>
      <c r="I412" s="17">
        <f>IF(A412="","",A412*Calculator!$B$5*Calculator!$B$8/3600)</f>
        <v/>
      </c>
      <c r="J412" s="12">
        <f>IF(A412="","",Calculator!$B$35-E412)</f>
        <v/>
      </c>
    </row>
    <row r="413">
      <c r="A413" s="15">
        <f>IF(411/1000&lt;=Calculator!$B$27+0.0000001,411/1000,"")</f>
        <v/>
      </c>
      <c r="B413" s="15">
        <f>IF(A413="","",A413/Calculator!$B$27)</f>
        <v/>
      </c>
      <c r="C413" s="15">
        <f>IF(A413="","",Calculator!$B$27-A413)</f>
        <v/>
      </c>
      <c r="D413" s="17">
        <f>IF(A413="","",(Calculator!$B$11+C413)*Calculator!$B$5)</f>
        <v/>
      </c>
      <c r="E413" s="12">
        <f>IF(A413="","",IF(Calculator!$B$17=1,ROUNDUP(D413*Calculator!$B$8/3600/Calculator!$B$24-0.000000001,0),D413*Calculator!$B$8/3600/Calculator!$B$24))</f>
        <v/>
      </c>
      <c r="F413" s="16">
        <f>IF(A413="","",IF(Calculator!$B$16=1,Calculator!$B$27,A413)*Calculator!$B$5*Calculator!$B$15)</f>
        <v/>
      </c>
      <c r="G413" s="16">
        <f>IF(A413="","",E413*Calculator!$B$6+Calculator!$C$37+F413+Calculator!$B$30)</f>
        <v/>
      </c>
      <c r="H413" s="16">
        <f>IF(A413="","",Calculator!$B$40-G413)</f>
        <v/>
      </c>
      <c r="I413" s="17">
        <f>IF(A413="","",A413*Calculator!$B$5*Calculator!$B$8/3600)</f>
        <v/>
      </c>
      <c r="J413" s="12">
        <f>IF(A413="","",Calculator!$B$35-E413)</f>
        <v/>
      </c>
    </row>
    <row r="414">
      <c r="A414" s="15">
        <f>IF(412/1000&lt;=Calculator!$B$27+0.0000001,412/1000,"")</f>
        <v/>
      </c>
      <c r="B414" s="15">
        <f>IF(A414="","",A414/Calculator!$B$27)</f>
        <v/>
      </c>
      <c r="C414" s="15">
        <f>IF(A414="","",Calculator!$B$27-A414)</f>
        <v/>
      </c>
      <c r="D414" s="17">
        <f>IF(A414="","",(Calculator!$B$11+C414)*Calculator!$B$5)</f>
        <v/>
      </c>
      <c r="E414" s="12">
        <f>IF(A414="","",IF(Calculator!$B$17=1,ROUNDUP(D414*Calculator!$B$8/3600/Calculator!$B$24-0.000000001,0),D414*Calculator!$B$8/3600/Calculator!$B$24))</f>
        <v/>
      </c>
      <c r="F414" s="16">
        <f>IF(A414="","",IF(Calculator!$B$16=1,Calculator!$B$27,A414)*Calculator!$B$5*Calculator!$B$15)</f>
        <v/>
      </c>
      <c r="G414" s="16">
        <f>IF(A414="","",E414*Calculator!$B$6+Calculator!$C$37+F414+Calculator!$B$30)</f>
        <v/>
      </c>
      <c r="H414" s="16">
        <f>IF(A414="","",Calculator!$B$40-G414)</f>
        <v/>
      </c>
      <c r="I414" s="17">
        <f>IF(A414="","",A414*Calculator!$B$5*Calculator!$B$8/3600)</f>
        <v/>
      </c>
      <c r="J414" s="12">
        <f>IF(A414="","",Calculator!$B$35-E414)</f>
        <v/>
      </c>
    </row>
    <row r="415">
      <c r="A415" s="15">
        <f>IF(413/1000&lt;=Calculator!$B$27+0.0000001,413/1000,"")</f>
        <v/>
      </c>
      <c r="B415" s="15">
        <f>IF(A415="","",A415/Calculator!$B$27)</f>
        <v/>
      </c>
      <c r="C415" s="15">
        <f>IF(A415="","",Calculator!$B$27-A415)</f>
        <v/>
      </c>
      <c r="D415" s="17">
        <f>IF(A415="","",(Calculator!$B$11+C415)*Calculator!$B$5)</f>
        <v/>
      </c>
      <c r="E415" s="12">
        <f>IF(A415="","",IF(Calculator!$B$17=1,ROUNDUP(D415*Calculator!$B$8/3600/Calculator!$B$24-0.000000001,0),D415*Calculator!$B$8/3600/Calculator!$B$24))</f>
        <v/>
      </c>
      <c r="F415" s="16">
        <f>IF(A415="","",IF(Calculator!$B$16=1,Calculator!$B$27,A415)*Calculator!$B$5*Calculator!$B$15)</f>
        <v/>
      </c>
      <c r="G415" s="16">
        <f>IF(A415="","",E415*Calculator!$B$6+Calculator!$C$37+F415+Calculator!$B$30)</f>
        <v/>
      </c>
      <c r="H415" s="16">
        <f>IF(A415="","",Calculator!$B$40-G415)</f>
        <v/>
      </c>
      <c r="I415" s="17">
        <f>IF(A415="","",A415*Calculator!$B$5*Calculator!$B$8/3600)</f>
        <v/>
      </c>
      <c r="J415" s="12">
        <f>IF(A415="","",Calculator!$B$35-E415)</f>
        <v/>
      </c>
    </row>
    <row r="416">
      <c r="A416" s="15">
        <f>IF(414/1000&lt;=Calculator!$B$27+0.0000001,414/1000,"")</f>
        <v/>
      </c>
      <c r="B416" s="15">
        <f>IF(A416="","",A416/Calculator!$B$27)</f>
        <v/>
      </c>
      <c r="C416" s="15">
        <f>IF(A416="","",Calculator!$B$27-A416)</f>
        <v/>
      </c>
      <c r="D416" s="17">
        <f>IF(A416="","",(Calculator!$B$11+C416)*Calculator!$B$5)</f>
        <v/>
      </c>
      <c r="E416" s="12">
        <f>IF(A416="","",IF(Calculator!$B$17=1,ROUNDUP(D416*Calculator!$B$8/3600/Calculator!$B$24-0.000000001,0),D416*Calculator!$B$8/3600/Calculator!$B$24))</f>
        <v/>
      </c>
      <c r="F416" s="16">
        <f>IF(A416="","",IF(Calculator!$B$16=1,Calculator!$B$27,A416)*Calculator!$B$5*Calculator!$B$15)</f>
        <v/>
      </c>
      <c r="G416" s="16">
        <f>IF(A416="","",E416*Calculator!$B$6+Calculator!$C$37+F416+Calculator!$B$30)</f>
        <v/>
      </c>
      <c r="H416" s="16">
        <f>IF(A416="","",Calculator!$B$40-G416)</f>
        <v/>
      </c>
      <c r="I416" s="17">
        <f>IF(A416="","",A416*Calculator!$B$5*Calculator!$B$8/3600)</f>
        <v/>
      </c>
      <c r="J416" s="12">
        <f>IF(A416="","",Calculator!$B$35-E416)</f>
        <v/>
      </c>
    </row>
    <row r="417">
      <c r="A417" s="15">
        <f>IF(415/1000&lt;=Calculator!$B$27+0.0000001,415/1000,"")</f>
        <v/>
      </c>
      <c r="B417" s="15">
        <f>IF(A417="","",A417/Calculator!$B$27)</f>
        <v/>
      </c>
      <c r="C417" s="15">
        <f>IF(A417="","",Calculator!$B$27-A417)</f>
        <v/>
      </c>
      <c r="D417" s="17">
        <f>IF(A417="","",(Calculator!$B$11+C417)*Calculator!$B$5)</f>
        <v/>
      </c>
      <c r="E417" s="12">
        <f>IF(A417="","",IF(Calculator!$B$17=1,ROUNDUP(D417*Calculator!$B$8/3600/Calculator!$B$24-0.000000001,0),D417*Calculator!$B$8/3600/Calculator!$B$24))</f>
        <v/>
      </c>
      <c r="F417" s="16">
        <f>IF(A417="","",IF(Calculator!$B$16=1,Calculator!$B$27,A417)*Calculator!$B$5*Calculator!$B$15)</f>
        <v/>
      </c>
      <c r="G417" s="16">
        <f>IF(A417="","",E417*Calculator!$B$6+Calculator!$C$37+F417+Calculator!$B$30)</f>
        <v/>
      </c>
      <c r="H417" s="16">
        <f>IF(A417="","",Calculator!$B$40-G417)</f>
        <v/>
      </c>
      <c r="I417" s="17">
        <f>IF(A417="","",A417*Calculator!$B$5*Calculator!$B$8/3600)</f>
        <v/>
      </c>
      <c r="J417" s="12">
        <f>IF(A417="","",Calculator!$B$35-E417)</f>
        <v/>
      </c>
    </row>
    <row r="418">
      <c r="A418" s="15">
        <f>IF(416/1000&lt;=Calculator!$B$27+0.0000001,416/1000,"")</f>
        <v/>
      </c>
      <c r="B418" s="15">
        <f>IF(A418="","",A418/Calculator!$B$27)</f>
        <v/>
      </c>
      <c r="C418" s="15">
        <f>IF(A418="","",Calculator!$B$27-A418)</f>
        <v/>
      </c>
      <c r="D418" s="17">
        <f>IF(A418="","",(Calculator!$B$11+C418)*Calculator!$B$5)</f>
        <v/>
      </c>
      <c r="E418" s="12">
        <f>IF(A418="","",IF(Calculator!$B$17=1,ROUNDUP(D418*Calculator!$B$8/3600/Calculator!$B$24-0.000000001,0),D418*Calculator!$B$8/3600/Calculator!$B$24))</f>
        <v/>
      </c>
      <c r="F418" s="16">
        <f>IF(A418="","",IF(Calculator!$B$16=1,Calculator!$B$27,A418)*Calculator!$B$5*Calculator!$B$15)</f>
        <v/>
      </c>
      <c r="G418" s="16">
        <f>IF(A418="","",E418*Calculator!$B$6+Calculator!$C$37+F418+Calculator!$B$30)</f>
        <v/>
      </c>
      <c r="H418" s="16">
        <f>IF(A418="","",Calculator!$B$40-G418)</f>
        <v/>
      </c>
      <c r="I418" s="17">
        <f>IF(A418="","",A418*Calculator!$B$5*Calculator!$B$8/3600)</f>
        <v/>
      </c>
      <c r="J418" s="12">
        <f>IF(A418="","",Calculator!$B$35-E418)</f>
        <v/>
      </c>
    </row>
    <row r="419">
      <c r="A419" s="15">
        <f>IF(417/1000&lt;=Calculator!$B$27+0.0000001,417/1000,"")</f>
        <v/>
      </c>
      <c r="B419" s="15">
        <f>IF(A419="","",A419/Calculator!$B$27)</f>
        <v/>
      </c>
      <c r="C419" s="15">
        <f>IF(A419="","",Calculator!$B$27-A419)</f>
        <v/>
      </c>
      <c r="D419" s="17">
        <f>IF(A419="","",(Calculator!$B$11+C419)*Calculator!$B$5)</f>
        <v/>
      </c>
      <c r="E419" s="12">
        <f>IF(A419="","",IF(Calculator!$B$17=1,ROUNDUP(D419*Calculator!$B$8/3600/Calculator!$B$24-0.000000001,0),D419*Calculator!$B$8/3600/Calculator!$B$24))</f>
        <v/>
      </c>
      <c r="F419" s="16">
        <f>IF(A419="","",IF(Calculator!$B$16=1,Calculator!$B$27,A419)*Calculator!$B$5*Calculator!$B$15)</f>
        <v/>
      </c>
      <c r="G419" s="16">
        <f>IF(A419="","",E419*Calculator!$B$6+Calculator!$C$37+F419+Calculator!$B$30)</f>
        <v/>
      </c>
      <c r="H419" s="16">
        <f>IF(A419="","",Calculator!$B$40-G419)</f>
        <v/>
      </c>
      <c r="I419" s="17">
        <f>IF(A419="","",A419*Calculator!$B$5*Calculator!$B$8/3600)</f>
        <v/>
      </c>
      <c r="J419" s="12">
        <f>IF(A419="","",Calculator!$B$35-E419)</f>
        <v/>
      </c>
    </row>
    <row r="420">
      <c r="A420" s="15">
        <f>IF(418/1000&lt;=Calculator!$B$27+0.0000001,418/1000,"")</f>
        <v/>
      </c>
      <c r="B420" s="15">
        <f>IF(A420="","",A420/Calculator!$B$27)</f>
        <v/>
      </c>
      <c r="C420" s="15">
        <f>IF(A420="","",Calculator!$B$27-A420)</f>
        <v/>
      </c>
      <c r="D420" s="17">
        <f>IF(A420="","",(Calculator!$B$11+C420)*Calculator!$B$5)</f>
        <v/>
      </c>
      <c r="E420" s="12">
        <f>IF(A420="","",IF(Calculator!$B$17=1,ROUNDUP(D420*Calculator!$B$8/3600/Calculator!$B$24-0.000000001,0),D420*Calculator!$B$8/3600/Calculator!$B$24))</f>
        <v/>
      </c>
      <c r="F420" s="16">
        <f>IF(A420="","",IF(Calculator!$B$16=1,Calculator!$B$27,A420)*Calculator!$B$5*Calculator!$B$15)</f>
        <v/>
      </c>
      <c r="G420" s="16">
        <f>IF(A420="","",E420*Calculator!$B$6+Calculator!$C$37+F420+Calculator!$B$30)</f>
        <v/>
      </c>
      <c r="H420" s="16">
        <f>IF(A420="","",Calculator!$B$40-G420)</f>
        <v/>
      </c>
      <c r="I420" s="17">
        <f>IF(A420="","",A420*Calculator!$B$5*Calculator!$B$8/3600)</f>
        <v/>
      </c>
      <c r="J420" s="12">
        <f>IF(A420="","",Calculator!$B$35-E420)</f>
        <v/>
      </c>
    </row>
    <row r="421">
      <c r="A421" s="15">
        <f>IF(419/1000&lt;=Calculator!$B$27+0.0000001,419/1000,"")</f>
        <v/>
      </c>
      <c r="B421" s="15">
        <f>IF(A421="","",A421/Calculator!$B$27)</f>
        <v/>
      </c>
      <c r="C421" s="15">
        <f>IF(A421="","",Calculator!$B$27-A421)</f>
        <v/>
      </c>
      <c r="D421" s="17">
        <f>IF(A421="","",(Calculator!$B$11+C421)*Calculator!$B$5)</f>
        <v/>
      </c>
      <c r="E421" s="12">
        <f>IF(A421="","",IF(Calculator!$B$17=1,ROUNDUP(D421*Calculator!$B$8/3600/Calculator!$B$24-0.000000001,0),D421*Calculator!$B$8/3600/Calculator!$B$24))</f>
        <v/>
      </c>
      <c r="F421" s="16">
        <f>IF(A421="","",IF(Calculator!$B$16=1,Calculator!$B$27,A421)*Calculator!$B$5*Calculator!$B$15)</f>
        <v/>
      </c>
      <c r="G421" s="16">
        <f>IF(A421="","",E421*Calculator!$B$6+Calculator!$C$37+F421+Calculator!$B$30)</f>
        <v/>
      </c>
      <c r="H421" s="16">
        <f>IF(A421="","",Calculator!$B$40-G421)</f>
        <v/>
      </c>
      <c r="I421" s="17">
        <f>IF(A421="","",A421*Calculator!$B$5*Calculator!$B$8/3600)</f>
        <v/>
      </c>
      <c r="J421" s="12">
        <f>IF(A421="","",Calculator!$B$35-E421)</f>
        <v/>
      </c>
    </row>
    <row r="422">
      <c r="A422" s="15">
        <f>IF(420/1000&lt;=Calculator!$B$27+0.0000001,420/1000,"")</f>
        <v/>
      </c>
      <c r="B422" s="15">
        <f>IF(A422="","",A422/Calculator!$B$27)</f>
        <v/>
      </c>
      <c r="C422" s="15">
        <f>IF(A422="","",Calculator!$B$27-A422)</f>
        <v/>
      </c>
      <c r="D422" s="17">
        <f>IF(A422="","",(Calculator!$B$11+C422)*Calculator!$B$5)</f>
        <v/>
      </c>
      <c r="E422" s="12">
        <f>IF(A422="","",IF(Calculator!$B$17=1,ROUNDUP(D422*Calculator!$B$8/3600/Calculator!$B$24-0.000000001,0),D422*Calculator!$B$8/3600/Calculator!$B$24))</f>
        <v/>
      </c>
      <c r="F422" s="16">
        <f>IF(A422="","",IF(Calculator!$B$16=1,Calculator!$B$27,A422)*Calculator!$B$5*Calculator!$B$15)</f>
        <v/>
      </c>
      <c r="G422" s="16">
        <f>IF(A422="","",E422*Calculator!$B$6+Calculator!$C$37+F422+Calculator!$B$30)</f>
        <v/>
      </c>
      <c r="H422" s="16">
        <f>IF(A422="","",Calculator!$B$40-G422)</f>
        <v/>
      </c>
      <c r="I422" s="17">
        <f>IF(A422="","",A422*Calculator!$B$5*Calculator!$B$8/3600)</f>
        <v/>
      </c>
      <c r="J422" s="12">
        <f>IF(A422="","",Calculator!$B$35-E422)</f>
        <v/>
      </c>
    </row>
    <row r="423">
      <c r="A423" s="15">
        <f>IF(421/1000&lt;=Calculator!$B$27+0.0000001,421/1000,"")</f>
        <v/>
      </c>
      <c r="B423" s="15">
        <f>IF(A423="","",A423/Calculator!$B$27)</f>
        <v/>
      </c>
      <c r="C423" s="15">
        <f>IF(A423="","",Calculator!$B$27-A423)</f>
        <v/>
      </c>
      <c r="D423" s="17">
        <f>IF(A423="","",(Calculator!$B$11+C423)*Calculator!$B$5)</f>
        <v/>
      </c>
      <c r="E423" s="12">
        <f>IF(A423="","",IF(Calculator!$B$17=1,ROUNDUP(D423*Calculator!$B$8/3600/Calculator!$B$24-0.000000001,0),D423*Calculator!$B$8/3600/Calculator!$B$24))</f>
        <v/>
      </c>
      <c r="F423" s="16">
        <f>IF(A423="","",IF(Calculator!$B$16=1,Calculator!$B$27,A423)*Calculator!$B$5*Calculator!$B$15)</f>
        <v/>
      </c>
      <c r="G423" s="16">
        <f>IF(A423="","",E423*Calculator!$B$6+Calculator!$C$37+F423+Calculator!$B$30)</f>
        <v/>
      </c>
      <c r="H423" s="16">
        <f>IF(A423="","",Calculator!$B$40-G423)</f>
        <v/>
      </c>
      <c r="I423" s="17">
        <f>IF(A423="","",A423*Calculator!$B$5*Calculator!$B$8/3600)</f>
        <v/>
      </c>
      <c r="J423" s="12">
        <f>IF(A423="","",Calculator!$B$35-E423)</f>
        <v/>
      </c>
    </row>
    <row r="424">
      <c r="A424" s="15">
        <f>IF(422/1000&lt;=Calculator!$B$27+0.0000001,422/1000,"")</f>
        <v/>
      </c>
      <c r="B424" s="15">
        <f>IF(A424="","",A424/Calculator!$B$27)</f>
        <v/>
      </c>
      <c r="C424" s="15">
        <f>IF(A424="","",Calculator!$B$27-A424)</f>
        <v/>
      </c>
      <c r="D424" s="17">
        <f>IF(A424="","",(Calculator!$B$11+C424)*Calculator!$B$5)</f>
        <v/>
      </c>
      <c r="E424" s="12">
        <f>IF(A424="","",IF(Calculator!$B$17=1,ROUNDUP(D424*Calculator!$B$8/3600/Calculator!$B$24-0.000000001,0),D424*Calculator!$B$8/3600/Calculator!$B$24))</f>
        <v/>
      </c>
      <c r="F424" s="16">
        <f>IF(A424="","",IF(Calculator!$B$16=1,Calculator!$B$27,A424)*Calculator!$B$5*Calculator!$B$15)</f>
        <v/>
      </c>
      <c r="G424" s="16">
        <f>IF(A424="","",E424*Calculator!$B$6+Calculator!$C$37+F424+Calculator!$B$30)</f>
        <v/>
      </c>
      <c r="H424" s="16">
        <f>IF(A424="","",Calculator!$B$40-G424)</f>
        <v/>
      </c>
      <c r="I424" s="17">
        <f>IF(A424="","",A424*Calculator!$B$5*Calculator!$B$8/3600)</f>
        <v/>
      </c>
      <c r="J424" s="12">
        <f>IF(A424="","",Calculator!$B$35-E424)</f>
        <v/>
      </c>
    </row>
    <row r="425">
      <c r="A425" s="15">
        <f>IF(423/1000&lt;=Calculator!$B$27+0.0000001,423/1000,"")</f>
        <v/>
      </c>
      <c r="B425" s="15">
        <f>IF(A425="","",A425/Calculator!$B$27)</f>
        <v/>
      </c>
      <c r="C425" s="15">
        <f>IF(A425="","",Calculator!$B$27-A425)</f>
        <v/>
      </c>
      <c r="D425" s="17">
        <f>IF(A425="","",(Calculator!$B$11+C425)*Calculator!$B$5)</f>
        <v/>
      </c>
      <c r="E425" s="12">
        <f>IF(A425="","",IF(Calculator!$B$17=1,ROUNDUP(D425*Calculator!$B$8/3600/Calculator!$B$24-0.000000001,0),D425*Calculator!$B$8/3600/Calculator!$B$24))</f>
        <v/>
      </c>
      <c r="F425" s="16">
        <f>IF(A425="","",IF(Calculator!$B$16=1,Calculator!$B$27,A425)*Calculator!$B$5*Calculator!$B$15)</f>
        <v/>
      </c>
      <c r="G425" s="16">
        <f>IF(A425="","",E425*Calculator!$B$6+Calculator!$C$37+F425+Calculator!$B$30)</f>
        <v/>
      </c>
      <c r="H425" s="16">
        <f>IF(A425="","",Calculator!$B$40-G425)</f>
        <v/>
      </c>
      <c r="I425" s="17">
        <f>IF(A425="","",A425*Calculator!$B$5*Calculator!$B$8/3600)</f>
        <v/>
      </c>
      <c r="J425" s="12">
        <f>IF(A425="","",Calculator!$B$35-E425)</f>
        <v/>
      </c>
    </row>
    <row r="426">
      <c r="A426" s="15">
        <f>IF(424/1000&lt;=Calculator!$B$27+0.0000001,424/1000,"")</f>
        <v/>
      </c>
      <c r="B426" s="15">
        <f>IF(A426="","",A426/Calculator!$B$27)</f>
        <v/>
      </c>
      <c r="C426" s="15">
        <f>IF(A426="","",Calculator!$B$27-A426)</f>
        <v/>
      </c>
      <c r="D426" s="17">
        <f>IF(A426="","",(Calculator!$B$11+C426)*Calculator!$B$5)</f>
        <v/>
      </c>
      <c r="E426" s="12">
        <f>IF(A426="","",IF(Calculator!$B$17=1,ROUNDUP(D426*Calculator!$B$8/3600/Calculator!$B$24-0.000000001,0),D426*Calculator!$B$8/3600/Calculator!$B$24))</f>
        <v/>
      </c>
      <c r="F426" s="16">
        <f>IF(A426="","",IF(Calculator!$B$16=1,Calculator!$B$27,A426)*Calculator!$B$5*Calculator!$B$15)</f>
        <v/>
      </c>
      <c r="G426" s="16">
        <f>IF(A426="","",E426*Calculator!$B$6+Calculator!$C$37+F426+Calculator!$B$30)</f>
        <v/>
      </c>
      <c r="H426" s="16">
        <f>IF(A426="","",Calculator!$B$40-G426)</f>
        <v/>
      </c>
      <c r="I426" s="17">
        <f>IF(A426="","",A426*Calculator!$B$5*Calculator!$B$8/3600)</f>
        <v/>
      </c>
      <c r="J426" s="12">
        <f>IF(A426="","",Calculator!$B$35-E426)</f>
        <v/>
      </c>
    </row>
    <row r="427">
      <c r="A427" s="15">
        <f>IF(425/1000&lt;=Calculator!$B$27+0.0000001,425/1000,"")</f>
        <v/>
      </c>
      <c r="B427" s="15">
        <f>IF(A427="","",A427/Calculator!$B$27)</f>
        <v/>
      </c>
      <c r="C427" s="15">
        <f>IF(A427="","",Calculator!$B$27-A427)</f>
        <v/>
      </c>
      <c r="D427" s="17">
        <f>IF(A427="","",(Calculator!$B$11+C427)*Calculator!$B$5)</f>
        <v/>
      </c>
      <c r="E427" s="12">
        <f>IF(A427="","",IF(Calculator!$B$17=1,ROUNDUP(D427*Calculator!$B$8/3600/Calculator!$B$24-0.000000001,0),D427*Calculator!$B$8/3600/Calculator!$B$24))</f>
        <v/>
      </c>
      <c r="F427" s="16">
        <f>IF(A427="","",IF(Calculator!$B$16=1,Calculator!$B$27,A427)*Calculator!$B$5*Calculator!$B$15)</f>
        <v/>
      </c>
      <c r="G427" s="16">
        <f>IF(A427="","",E427*Calculator!$B$6+Calculator!$C$37+F427+Calculator!$B$30)</f>
        <v/>
      </c>
      <c r="H427" s="16">
        <f>IF(A427="","",Calculator!$B$40-G427)</f>
        <v/>
      </c>
      <c r="I427" s="17">
        <f>IF(A427="","",A427*Calculator!$B$5*Calculator!$B$8/3600)</f>
        <v/>
      </c>
      <c r="J427" s="12">
        <f>IF(A427="","",Calculator!$B$35-E427)</f>
        <v/>
      </c>
    </row>
    <row r="428">
      <c r="A428" s="15">
        <f>IF(426/1000&lt;=Calculator!$B$27+0.0000001,426/1000,"")</f>
        <v/>
      </c>
      <c r="B428" s="15">
        <f>IF(A428="","",A428/Calculator!$B$27)</f>
        <v/>
      </c>
      <c r="C428" s="15">
        <f>IF(A428="","",Calculator!$B$27-A428)</f>
        <v/>
      </c>
      <c r="D428" s="17">
        <f>IF(A428="","",(Calculator!$B$11+C428)*Calculator!$B$5)</f>
        <v/>
      </c>
      <c r="E428" s="12">
        <f>IF(A428="","",IF(Calculator!$B$17=1,ROUNDUP(D428*Calculator!$B$8/3600/Calculator!$B$24-0.000000001,0),D428*Calculator!$B$8/3600/Calculator!$B$24))</f>
        <v/>
      </c>
      <c r="F428" s="16">
        <f>IF(A428="","",IF(Calculator!$B$16=1,Calculator!$B$27,A428)*Calculator!$B$5*Calculator!$B$15)</f>
        <v/>
      </c>
      <c r="G428" s="16">
        <f>IF(A428="","",E428*Calculator!$B$6+Calculator!$C$37+F428+Calculator!$B$30)</f>
        <v/>
      </c>
      <c r="H428" s="16">
        <f>IF(A428="","",Calculator!$B$40-G428)</f>
        <v/>
      </c>
      <c r="I428" s="17">
        <f>IF(A428="","",A428*Calculator!$B$5*Calculator!$B$8/3600)</f>
        <v/>
      </c>
      <c r="J428" s="12">
        <f>IF(A428="","",Calculator!$B$35-E428)</f>
        <v/>
      </c>
    </row>
    <row r="429">
      <c r="A429" s="15">
        <f>IF(427/1000&lt;=Calculator!$B$27+0.0000001,427/1000,"")</f>
        <v/>
      </c>
      <c r="B429" s="15">
        <f>IF(A429="","",A429/Calculator!$B$27)</f>
        <v/>
      </c>
      <c r="C429" s="15">
        <f>IF(A429="","",Calculator!$B$27-A429)</f>
        <v/>
      </c>
      <c r="D429" s="17">
        <f>IF(A429="","",(Calculator!$B$11+C429)*Calculator!$B$5)</f>
        <v/>
      </c>
      <c r="E429" s="12">
        <f>IF(A429="","",IF(Calculator!$B$17=1,ROUNDUP(D429*Calculator!$B$8/3600/Calculator!$B$24-0.000000001,0),D429*Calculator!$B$8/3600/Calculator!$B$24))</f>
        <v/>
      </c>
      <c r="F429" s="16">
        <f>IF(A429="","",IF(Calculator!$B$16=1,Calculator!$B$27,A429)*Calculator!$B$5*Calculator!$B$15)</f>
        <v/>
      </c>
      <c r="G429" s="16">
        <f>IF(A429="","",E429*Calculator!$B$6+Calculator!$C$37+F429+Calculator!$B$30)</f>
        <v/>
      </c>
      <c r="H429" s="16">
        <f>IF(A429="","",Calculator!$B$40-G429)</f>
        <v/>
      </c>
      <c r="I429" s="17">
        <f>IF(A429="","",A429*Calculator!$B$5*Calculator!$B$8/3600)</f>
        <v/>
      </c>
      <c r="J429" s="12">
        <f>IF(A429="","",Calculator!$B$35-E429)</f>
        <v/>
      </c>
    </row>
    <row r="430">
      <c r="A430" s="15">
        <f>IF(428/1000&lt;=Calculator!$B$27+0.0000001,428/1000,"")</f>
        <v/>
      </c>
      <c r="B430" s="15">
        <f>IF(A430="","",A430/Calculator!$B$27)</f>
        <v/>
      </c>
      <c r="C430" s="15">
        <f>IF(A430="","",Calculator!$B$27-A430)</f>
        <v/>
      </c>
      <c r="D430" s="17">
        <f>IF(A430="","",(Calculator!$B$11+C430)*Calculator!$B$5)</f>
        <v/>
      </c>
      <c r="E430" s="12">
        <f>IF(A430="","",IF(Calculator!$B$17=1,ROUNDUP(D430*Calculator!$B$8/3600/Calculator!$B$24-0.000000001,0),D430*Calculator!$B$8/3600/Calculator!$B$24))</f>
        <v/>
      </c>
      <c r="F430" s="16">
        <f>IF(A430="","",IF(Calculator!$B$16=1,Calculator!$B$27,A430)*Calculator!$B$5*Calculator!$B$15)</f>
        <v/>
      </c>
      <c r="G430" s="16">
        <f>IF(A430="","",E430*Calculator!$B$6+Calculator!$C$37+F430+Calculator!$B$30)</f>
        <v/>
      </c>
      <c r="H430" s="16">
        <f>IF(A430="","",Calculator!$B$40-G430)</f>
        <v/>
      </c>
      <c r="I430" s="17">
        <f>IF(A430="","",A430*Calculator!$B$5*Calculator!$B$8/3600)</f>
        <v/>
      </c>
      <c r="J430" s="12">
        <f>IF(A430="","",Calculator!$B$35-E430)</f>
        <v/>
      </c>
    </row>
    <row r="431">
      <c r="A431" s="15">
        <f>IF(429/1000&lt;=Calculator!$B$27+0.0000001,429/1000,"")</f>
        <v/>
      </c>
      <c r="B431" s="15">
        <f>IF(A431="","",A431/Calculator!$B$27)</f>
        <v/>
      </c>
      <c r="C431" s="15">
        <f>IF(A431="","",Calculator!$B$27-A431)</f>
        <v/>
      </c>
      <c r="D431" s="17">
        <f>IF(A431="","",(Calculator!$B$11+C431)*Calculator!$B$5)</f>
        <v/>
      </c>
      <c r="E431" s="12">
        <f>IF(A431="","",IF(Calculator!$B$17=1,ROUNDUP(D431*Calculator!$B$8/3600/Calculator!$B$24-0.000000001,0),D431*Calculator!$B$8/3600/Calculator!$B$24))</f>
        <v/>
      </c>
      <c r="F431" s="16">
        <f>IF(A431="","",IF(Calculator!$B$16=1,Calculator!$B$27,A431)*Calculator!$B$5*Calculator!$B$15)</f>
        <v/>
      </c>
      <c r="G431" s="16">
        <f>IF(A431="","",E431*Calculator!$B$6+Calculator!$C$37+F431+Calculator!$B$30)</f>
        <v/>
      </c>
      <c r="H431" s="16">
        <f>IF(A431="","",Calculator!$B$40-G431)</f>
        <v/>
      </c>
      <c r="I431" s="17">
        <f>IF(A431="","",A431*Calculator!$B$5*Calculator!$B$8/3600)</f>
        <v/>
      </c>
      <c r="J431" s="12">
        <f>IF(A431="","",Calculator!$B$35-E431)</f>
        <v/>
      </c>
    </row>
    <row r="432">
      <c r="A432" s="15">
        <f>IF(430/1000&lt;=Calculator!$B$27+0.0000001,430/1000,"")</f>
        <v/>
      </c>
      <c r="B432" s="15">
        <f>IF(A432="","",A432/Calculator!$B$27)</f>
        <v/>
      </c>
      <c r="C432" s="15">
        <f>IF(A432="","",Calculator!$B$27-A432)</f>
        <v/>
      </c>
      <c r="D432" s="17">
        <f>IF(A432="","",(Calculator!$B$11+C432)*Calculator!$B$5)</f>
        <v/>
      </c>
      <c r="E432" s="12">
        <f>IF(A432="","",IF(Calculator!$B$17=1,ROUNDUP(D432*Calculator!$B$8/3600/Calculator!$B$24-0.000000001,0),D432*Calculator!$B$8/3600/Calculator!$B$24))</f>
        <v/>
      </c>
      <c r="F432" s="16">
        <f>IF(A432="","",IF(Calculator!$B$16=1,Calculator!$B$27,A432)*Calculator!$B$5*Calculator!$B$15)</f>
        <v/>
      </c>
      <c r="G432" s="16">
        <f>IF(A432="","",E432*Calculator!$B$6+Calculator!$C$37+F432+Calculator!$B$30)</f>
        <v/>
      </c>
      <c r="H432" s="16">
        <f>IF(A432="","",Calculator!$B$40-G432)</f>
        <v/>
      </c>
      <c r="I432" s="17">
        <f>IF(A432="","",A432*Calculator!$B$5*Calculator!$B$8/3600)</f>
        <v/>
      </c>
      <c r="J432" s="12">
        <f>IF(A432="","",Calculator!$B$35-E432)</f>
        <v/>
      </c>
    </row>
    <row r="433">
      <c r="A433" s="15">
        <f>IF(431/1000&lt;=Calculator!$B$27+0.0000001,431/1000,"")</f>
        <v/>
      </c>
      <c r="B433" s="15">
        <f>IF(A433="","",A433/Calculator!$B$27)</f>
        <v/>
      </c>
      <c r="C433" s="15">
        <f>IF(A433="","",Calculator!$B$27-A433)</f>
        <v/>
      </c>
      <c r="D433" s="17">
        <f>IF(A433="","",(Calculator!$B$11+C433)*Calculator!$B$5)</f>
        <v/>
      </c>
      <c r="E433" s="12">
        <f>IF(A433="","",IF(Calculator!$B$17=1,ROUNDUP(D433*Calculator!$B$8/3600/Calculator!$B$24-0.000000001,0),D433*Calculator!$B$8/3600/Calculator!$B$24))</f>
        <v/>
      </c>
      <c r="F433" s="16">
        <f>IF(A433="","",IF(Calculator!$B$16=1,Calculator!$B$27,A433)*Calculator!$B$5*Calculator!$B$15)</f>
        <v/>
      </c>
      <c r="G433" s="16">
        <f>IF(A433="","",E433*Calculator!$B$6+Calculator!$C$37+F433+Calculator!$B$30)</f>
        <v/>
      </c>
      <c r="H433" s="16">
        <f>IF(A433="","",Calculator!$B$40-G433)</f>
        <v/>
      </c>
      <c r="I433" s="17">
        <f>IF(A433="","",A433*Calculator!$B$5*Calculator!$B$8/3600)</f>
        <v/>
      </c>
      <c r="J433" s="12">
        <f>IF(A433="","",Calculator!$B$35-E433)</f>
        <v/>
      </c>
    </row>
    <row r="434">
      <c r="A434" s="15">
        <f>IF(432/1000&lt;=Calculator!$B$27+0.0000001,432/1000,"")</f>
        <v/>
      </c>
      <c r="B434" s="15">
        <f>IF(A434="","",A434/Calculator!$B$27)</f>
        <v/>
      </c>
      <c r="C434" s="15">
        <f>IF(A434="","",Calculator!$B$27-A434)</f>
        <v/>
      </c>
      <c r="D434" s="17">
        <f>IF(A434="","",(Calculator!$B$11+C434)*Calculator!$B$5)</f>
        <v/>
      </c>
      <c r="E434" s="12">
        <f>IF(A434="","",IF(Calculator!$B$17=1,ROUNDUP(D434*Calculator!$B$8/3600/Calculator!$B$24-0.000000001,0),D434*Calculator!$B$8/3600/Calculator!$B$24))</f>
        <v/>
      </c>
      <c r="F434" s="16">
        <f>IF(A434="","",IF(Calculator!$B$16=1,Calculator!$B$27,A434)*Calculator!$B$5*Calculator!$B$15)</f>
        <v/>
      </c>
      <c r="G434" s="16">
        <f>IF(A434="","",E434*Calculator!$B$6+Calculator!$C$37+F434+Calculator!$B$30)</f>
        <v/>
      </c>
      <c r="H434" s="16">
        <f>IF(A434="","",Calculator!$B$40-G434)</f>
        <v/>
      </c>
      <c r="I434" s="17">
        <f>IF(A434="","",A434*Calculator!$B$5*Calculator!$B$8/3600)</f>
        <v/>
      </c>
      <c r="J434" s="12">
        <f>IF(A434="","",Calculator!$B$35-E434)</f>
        <v/>
      </c>
    </row>
    <row r="435">
      <c r="A435" s="15">
        <f>IF(433/1000&lt;=Calculator!$B$27+0.0000001,433/1000,"")</f>
        <v/>
      </c>
      <c r="B435" s="15">
        <f>IF(A435="","",A435/Calculator!$B$27)</f>
        <v/>
      </c>
      <c r="C435" s="15">
        <f>IF(A435="","",Calculator!$B$27-A435)</f>
        <v/>
      </c>
      <c r="D435" s="17">
        <f>IF(A435="","",(Calculator!$B$11+C435)*Calculator!$B$5)</f>
        <v/>
      </c>
      <c r="E435" s="12">
        <f>IF(A435="","",IF(Calculator!$B$17=1,ROUNDUP(D435*Calculator!$B$8/3600/Calculator!$B$24-0.000000001,0),D435*Calculator!$B$8/3600/Calculator!$B$24))</f>
        <v/>
      </c>
      <c r="F435" s="16">
        <f>IF(A435="","",IF(Calculator!$B$16=1,Calculator!$B$27,A435)*Calculator!$B$5*Calculator!$B$15)</f>
        <v/>
      </c>
      <c r="G435" s="16">
        <f>IF(A435="","",E435*Calculator!$B$6+Calculator!$C$37+F435+Calculator!$B$30)</f>
        <v/>
      </c>
      <c r="H435" s="16">
        <f>IF(A435="","",Calculator!$B$40-G435)</f>
        <v/>
      </c>
      <c r="I435" s="17">
        <f>IF(A435="","",A435*Calculator!$B$5*Calculator!$B$8/3600)</f>
        <v/>
      </c>
      <c r="J435" s="12">
        <f>IF(A435="","",Calculator!$B$35-E435)</f>
        <v/>
      </c>
    </row>
    <row r="436">
      <c r="A436" s="15">
        <f>IF(434/1000&lt;=Calculator!$B$27+0.0000001,434/1000,"")</f>
        <v/>
      </c>
      <c r="B436" s="15">
        <f>IF(A436="","",A436/Calculator!$B$27)</f>
        <v/>
      </c>
      <c r="C436" s="15">
        <f>IF(A436="","",Calculator!$B$27-A436)</f>
        <v/>
      </c>
      <c r="D436" s="17">
        <f>IF(A436="","",(Calculator!$B$11+C436)*Calculator!$B$5)</f>
        <v/>
      </c>
      <c r="E436" s="12">
        <f>IF(A436="","",IF(Calculator!$B$17=1,ROUNDUP(D436*Calculator!$B$8/3600/Calculator!$B$24-0.000000001,0),D436*Calculator!$B$8/3600/Calculator!$B$24))</f>
        <v/>
      </c>
      <c r="F436" s="16">
        <f>IF(A436="","",IF(Calculator!$B$16=1,Calculator!$B$27,A436)*Calculator!$B$5*Calculator!$B$15)</f>
        <v/>
      </c>
      <c r="G436" s="16">
        <f>IF(A436="","",E436*Calculator!$B$6+Calculator!$C$37+F436+Calculator!$B$30)</f>
        <v/>
      </c>
      <c r="H436" s="16">
        <f>IF(A436="","",Calculator!$B$40-G436)</f>
        <v/>
      </c>
      <c r="I436" s="17">
        <f>IF(A436="","",A436*Calculator!$B$5*Calculator!$B$8/3600)</f>
        <v/>
      </c>
      <c r="J436" s="12">
        <f>IF(A436="","",Calculator!$B$35-E436)</f>
        <v/>
      </c>
    </row>
    <row r="437">
      <c r="A437" s="15">
        <f>IF(435/1000&lt;=Calculator!$B$27+0.0000001,435/1000,"")</f>
        <v/>
      </c>
      <c r="B437" s="15">
        <f>IF(A437="","",A437/Calculator!$B$27)</f>
        <v/>
      </c>
      <c r="C437" s="15">
        <f>IF(A437="","",Calculator!$B$27-A437)</f>
        <v/>
      </c>
      <c r="D437" s="17">
        <f>IF(A437="","",(Calculator!$B$11+C437)*Calculator!$B$5)</f>
        <v/>
      </c>
      <c r="E437" s="12">
        <f>IF(A437="","",IF(Calculator!$B$17=1,ROUNDUP(D437*Calculator!$B$8/3600/Calculator!$B$24-0.000000001,0),D437*Calculator!$B$8/3600/Calculator!$B$24))</f>
        <v/>
      </c>
      <c r="F437" s="16">
        <f>IF(A437="","",IF(Calculator!$B$16=1,Calculator!$B$27,A437)*Calculator!$B$5*Calculator!$B$15)</f>
        <v/>
      </c>
      <c r="G437" s="16">
        <f>IF(A437="","",E437*Calculator!$B$6+Calculator!$C$37+F437+Calculator!$B$30)</f>
        <v/>
      </c>
      <c r="H437" s="16">
        <f>IF(A437="","",Calculator!$B$40-G437)</f>
        <v/>
      </c>
      <c r="I437" s="17">
        <f>IF(A437="","",A437*Calculator!$B$5*Calculator!$B$8/3600)</f>
        <v/>
      </c>
      <c r="J437" s="12">
        <f>IF(A437="","",Calculator!$B$35-E437)</f>
        <v/>
      </c>
    </row>
    <row r="438">
      <c r="A438" s="15">
        <f>IF(436/1000&lt;=Calculator!$B$27+0.0000001,436/1000,"")</f>
        <v/>
      </c>
      <c r="B438" s="15">
        <f>IF(A438="","",A438/Calculator!$B$27)</f>
        <v/>
      </c>
      <c r="C438" s="15">
        <f>IF(A438="","",Calculator!$B$27-A438)</f>
        <v/>
      </c>
      <c r="D438" s="17">
        <f>IF(A438="","",(Calculator!$B$11+C438)*Calculator!$B$5)</f>
        <v/>
      </c>
      <c r="E438" s="12">
        <f>IF(A438="","",IF(Calculator!$B$17=1,ROUNDUP(D438*Calculator!$B$8/3600/Calculator!$B$24-0.000000001,0),D438*Calculator!$B$8/3600/Calculator!$B$24))</f>
        <v/>
      </c>
      <c r="F438" s="16">
        <f>IF(A438="","",IF(Calculator!$B$16=1,Calculator!$B$27,A438)*Calculator!$B$5*Calculator!$B$15)</f>
        <v/>
      </c>
      <c r="G438" s="16">
        <f>IF(A438="","",E438*Calculator!$B$6+Calculator!$C$37+F438+Calculator!$B$30)</f>
        <v/>
      </c>
      <c r="H438" s="16">
        <f>IF(A438="","",Calculator!$B$40-G438)</f>
        <v/>
      </c>
      <c r="I438" s="17">
        <f>IF(A438="","",A438*Calculator!$B$5*Calculator!$B$8/3600)</f>
        <v/>
      </c>
      <c r="J438" s="12">
        <f>IF(A438="","",Calculator!$B$35-E438)</f>
        <v/>
      </c>
    </row>
    <row r="439">
      <c r="A439" s="15">
        <f>IF(437/1000&lt;=Calculator!$B$27+0.0000001,437/1000,"")</f>
        <v/>
      </c>
      <c r="B439" s="15">
        <f>IF(A439="","",A439/Calculator!$B$27)</f>
        <v/>
      </c>
      <c r="C439" s="15">
        <f>IF(A439="","",Calculator!$B$27-A439)</f>
        <v/>
      </c>
      <c r="D439" s="17">
        <f>IF(A439="","",(Calculator!$B$11+C439)*Calculator!$B$5)</f>
        <v/>
      </c>
      <c r="E439" s="12">
        <f>IF(A439="","",IF(Calculator!$B$17=1,ROUNDUP(D439*Calculator!$B$8/3600/Calculator!$B$24-0.000000001,0),D439*Calculator!$B$8/3600/Calculator!$B$24))</f>
        <v/>
      </c>
      <c r="F439" s="16">
        <f>IF(A439="","",IF(Calculator!$B$16=1,Calculator!$B$27,A439)*Calculator!$B$5*Calculator!$B$15)</f>
        <v/>
      </c>
      <c r="G439" s="16">
        <f>IF(A439="","",E439*Calculator!$B$6+Calculator!$C$37+F439+Calculator!$B$30)</f>
        <v/>
      </c>
      <c r="H439" s="16">
        <f>IF(A439="","",Calculator!$B$40-G439)</f>
        <v/>
      </c>
      <c r="I439" s="17">
        <f>IF(A439="","",A439*Calculator!$B$5*Calculator!$B$8/3600)</f>
        <v/>
      </c>
      <c r="J439" s="12">
        <f>IF(A439="","",Calculator!$B$35-E439)</f>
        <v/>
      </c>
    </row>
    <row r="440">
      <c r="A440" s="15">
        <f>IF(438/1000&lt;=Calculator!$B$27+0.0000001,438/1000,"")</f>
        <v/>
      </c>
      <c r="B440" s="15">
        <f>IF(A440="","",A440/Calculator!$B$27)</f>
        <v/>
      </c>
      <c r="C440" s="15">
        <f>IF(A440="","",Calculator!$B$27-A440)</f>
        <v/>
      </c>
      <c r="D440" s="17">
        <f>IF(A440="","",(Calculator!$B$11+C440)*Calculator!$B$5)</f>
        <v/>
      </c>
      <c r="E440" s="12">
        <f>IF(A440="","",IF(Calculator!$B$17=1,ROUNDUP(D440*Calculator!$B$8/3600/Calculator!$B$24-0.000000001,0),D440*Calculator!$B$8/3600/Calculator!$B$24))</f>
        <v/>
      </c>
      <c r="F440" s="16">
        <f>IF(A440="","",IF(Calculator!$B$16=1,Calculator!$B$27,A440)*Calculator!$B$5*Calculator!$B$15)</f>
        <v/>
      </c>
      <c r="G440" s="16">
        <f>IF(A440="","",E440*Calculator!$B$6+Calculator!$C$37+F440+Calculator!$B$30)</f>
        <v/>
      </c>
      <c r="H440" s="16">
        <f>IF(A440="","",Calculator!$B$40-G440)</f>
        <v/>
      </c>
      <c r="I440" s="17">
        <f>IF(A440="","",A440*Calculator!$B$5*Calculator!$B$8/3600)</f>
        <v/>
      </c>
      <c r="J440" s="12">
        <f>IF(A440="","",Calculator!$B$35-E440)</f>
        <v/>
      </c>
    </row>
    <row r="441">
      <c r="A441" s="15">
        <f>IF(439/1000&lt;=Calculator!$B$27+0.0000001,439/1000,"")</f>
        <v/>
      </c>
      <c r="B441" s="15">
        <f>IF(A441="","",A441/Calculator!$B$27)</f>
        <v/>
      </c>
      <c r="C441" s="15">
        <f>IF(A441="","",Calculator!$B$27-A441)</f>
        <v/>
      </c>
      <c r="D441" s="17">
        <f>IF(A441="","",(Calculator!$B$11+C441)*Calculator!$B$5)</f>
        <v/>
      </c>
      <c r="E441" s="12">
        <f>IF(A441="","",IF(Calculator!$B$17=1,ROUNDUP(D441*Calculator!$B$8/3600/Calculator!$B$24-0.000000001,0),D441*Calculator!$B$8/3600/Calculator!$B$24))</f>
        <v/>
      </c>
      <c r="F441" s="16">
        <f>IF(A441="","",IF(Calculator!$B$16=1,Calculator!$B$27,A441)*Calculator!$B$5*Calculator!$B$15)</f>
        <v/>
      </c>
      <c r="G441" s="16">
        <f>IF(A441="","",E441*Calculator!$B$6+Calculator!$C$37+F441+Calculator!$B$30)</f>
        <v/>
      </c>
      <c r="H441" s="16">
        <f>IF(A441="","",Calculator!$B$40-G441)</f>
        <v/>
      </c>
      <c r="I441" s="17">
        <f>IF(A441="","",A441*Calculator!$B$5*Calculator!$B$8/3600)</f>
        <v/>
      </c>
      <c r="J441" s="12">
        <f>IF(A441="","",Calculator!$B$35-E441)</f>
        <v/>
      </c>
    </row>
    <row r="442">
      <c r="A442" s="15">
        <f>IF(440/1000&lt;=Calculator!$B$27+0.0000001,440/1000,"")</f>
        <v/>
      </c>
      <c r="B442" s="15">
        <f>IF(A442="","",A442/Calculator!$B$27)</f>
        <v/>
      </c>
      <c r="C442" s="15">
        <f>IF(A442="","",Calculator!$B$27-A442)</f>
        <v/>
      </c>
      <c r="D442" s="17">
        <f>IF(A442="","",(Calculator!$B$11+C442)*Calculator!$B$5)</f>
        <v/>
      </c>
      <c r="E442" s="12">
        <f>IF(A442="","",IF(Calculator!$B$17=1,ROUNDUP(D442*Calculator!$B$8/3600/Calculator!$B$24-0.000000001,0),D442*Calculator!$B$8/3600/Calculator!$B$24))</f>
        <v/>
      </c>
      <c r="F442" s="16">
        <f>IF(A442="","",IF(Calculator!$B$16=1,Calculator!$B$27,A442)*Calculator!$B$5*Calculator!$B$15)</f>
        <v/>
      </c>
      <c r="G442" s="16">
        <f>IF(A442="","",E442*Calculator!$B$6+Calculator!$C$37+F442+Calculator!$B$30)</f>
        <v/>
      </c>
      <c r="H442" s="16">
        <f>IF(A442="","",Calculator!$B$40-G442)</f>
        <v/>
      </c>
      <c r="I442" s="17">
        <f>IF(A442="","",A442*Calculator!$B$5*Calculator!$B$8/3600)</f>
        <v/>
      </c>
      <c r="J442" s="12">
        <f>IF(A442="","",Calculator!$B$35-E442)</f>
        <v/>
      </c>
    </row>
    <row r="443">
      <c r="A443" s="15">
        <f>IF(441/1000&lt;=Calculator!$B$27+0.0000001,441/1000,"")</f>
        <v/>
      </c>
      <c r="B443" s="15">
        <f>IF(A443="","",A443/Calculator!$B$27)</f>
        <v/>
      </c>
      <c r="C443" s="15">
        <f>IF(A443="","",Calculator!$B$27-A443)</f>
        <v/>
      </c>
      <c r="D443" s="17">
        <f>IF(A443="","",(Calculator!$B$11+C443)*Calculator!$B$5)</f>
        <v/>
      </c>
      <c r="E443" s="12">
        <f>IF(A443="","",IF(Calculator!$B$17=1,ROUNDUP(D443*Calculator!$B$8/3600/Calculator!$B$24-0.000000001,0),D443*Calculator!$B$8/3600/Calculator!$B$24))</f>
        <v/>
      </c>
      <c r="F443" s="16">
        <f>IF(A443="","",IF(Calculator!$B$16=1,Calculator!$B$27,A443)*Calculator!$B$5*Calculator!$B$15)</f>
        <v/>
      </c>
      <c r="G443" s="16">
        <f>IF(A443="","",E443*Calculator!$B$6+Calculator!$C$37+F443+Calculator!$B$30)</f>
        <v/>
      </c>
      <c r="H443" s="16">
        <f>IF(A443="","",Calculator!$B$40-G443)</f>
        <v/>
      </c>
      <c r="I443" s="17">
        <f>IF(A443="","",A443*Calculator!$B$5*Calculator!$B$8/3600)</f>
        <v/>
      </c>
      <c r="J443" s="12">
        <f>IF(A443="","",Calculator!$B$35-E443)</f>
        <v/>
      </c>
    </row>
    <row r="444">
      <c r="A444" s="15">
        <f>IF(442/1000&lt;=Calculator!$B$27+0.0000001,442/1000,"")</f>
        <v/>
      </c>
      <c r="B444" s="15">
        <f>IF(A444="","",A444/Calculator!$B$27)</f>
        <v/>
      </c>
      <c r="C444" s="15">
        <f>IF(A444="","",Calculator!$B$27-A444)</f>
        <v/>
      </c>
      <c r="D444" s="17">
        <f>IF(A444="","",(Calculator!$B$11+C444)*Calculator!$B$5)</f>
        <v/>
      </c>
      <c r="E444" s="12">
        <f>IF(A444="","",IF(Calculator!$B$17=1,ROUNDUP(D444*Calculator!$B$8/3600/Calculator!$B$24-0.000000001,0),D444*Calculator!$B$8/3600/Calculator!$B$24))</f>
        <v/>
      </c>
      <c r="F444" s="16">
        <f>IF(A444="","",IF(Calculator!$B$16=1,Calculator!$B$27,A444)*Calculator!$B$5*Calculator!$B$15)</f>
        <v/>
      </c>
      <c r="G444" s="16">
        <f>IF(A444="","",E444*Calculator!$B$6+Calculator!$C$37+F444+Calculator!$B$30)</f>
        <v/>
      </c>
      <c r="H444" s="16">
        <f>IF(A444="","",Calculator!$B$40-G444)</f>
        <v/>
      </c>
      <c r="I444" s="17">
        <f>IF(A444="","",A444*Calculator!$B$5*Calculator!$B$8/3600)</f>
        <v/>
      </c>
      <c r="J444" s="12">
        <f>IF(A444="","",Calculator!$B$35-E444)</f>
        <v/>
      </c>
    </row>
    <row r="445">
      <c r="A445" s="15">
        <f>IF(443/1000&lt;=Calculator!$B$27+0.0000001,443/1000,"")</f>
        <v/>
      </c>
      <c r="B445" s="15">
        <f>IF(A445="","",A445/Calculator!$B$27)</f>
        <v/>
      </c>
      <c r="C445" s="15">
        <f>IF(A445="","",Calculator!$B$27-A445)</f>
        <v/>
      </c>
      <c r="D445" s="17">
        <f>IF(A445="","",(Calculator!$B$11+C445)*Calculator!$B$5)</f>
        <v/>
      </c>
      <c r="E445" s="12">
        <f>IF(A445="","",IF(Calculator!$B$17=1,ROUNDUP(D445*Calculator!$B$8/3600/Calculator!$B$24-0.000000001,0),D445*Calculator!$B$8/3600/Calculator!$B$24))</f>
        <v/>
      </c>
      <c r="F445" s="16">
        <f>IF(A445="","",IF(Calculator!$B$16=1,Calculator!$B$27,A445)*Calculator!$B$5*Calculator!$B$15)</f>
        <v/>
      </c>
      <c r="G445" s="16">
        <f>IF(A445="","",E445*Calculator!$B$6+Calculator!$C$37+F445+Calculator!$B$30)</f>
        <v/>
      </c>
      <c r="H445" s="16">
        <f>IF(A445="","",Calculator!$B$40-G445)</f>
        <v/>
      </c>
      <c r="I445" s="17">
        <f>IF(A445="","",A445*Calculator!$B$5*Calculator!$B$8/3600)</f>
        <v/>
      </c>
      <c r="J445" s="12">
        <f>IF(A445="","",Calculator!$B$35-E445)</f>
        <v/>
      </c>
    </row>
    <row r="446">
      <c r="A446" s="15">
        <f>IF(444/1000&lt;=Calculator!$B$27+0.0000001,444/1000,"")</f>
        <v/>
      </c>
      <c r="B446" s="15">
        <f>IF(A446="","",A446/Calculator!$B$27)</f>
        <v/>
      </c>
      <c r="C446" s="15">
        <f>IF(A446="","",Calculator!$B$27-A446)</f>
        <v/>
      </c>
      <c r="D446" s="17">
        <f>IF(A446="","",(Calculator!$B$11+C446)*Calculator!$B$5)</f>
        <v/>
      </c>
      <c r="E446" s="12">
        <f>IF(A446="","",IF(Calculator!$B$17=1,ROUNDUP(D446*Calculator!$B$8/3600/Calculator!$B$24-0.000000001,0),D446*Calculator!$B$8/3600/Calculator!$B$24))</f>
        <v/>
      </c>
      <c r="F446" s="16">
        <f>IF(A446="","",IF(Calculator!$B$16=1,Calculator!$B$27,A446)*Calculator!$B$5*Calculator!$B$15)</f>
        <v/>
      </c>
      <c r="G446" s="16">
        <f>IF(A446="","",E446*Calculator!$B$6+Calculator!$C$37+F446+Calculator!$B$30)</f>
        <v/>
      </c>
      <c r="H446" s="16">
        <f>IF(A446="","",Calculator!$B$40-G446)</f>
        <v/>
      </c>
      <c r="I446" s="17">
        <f>IF(A446="","",A446*Calculator!$B$5*Calculator!$B$8/3600)</f>
        <v/>
      </c>
      <c r="J446" s="12">
        <f>IF(A446="","",Calculator!$B$35-E446)</f>
        <v/>
      </c>
    </row>
    <row r="447">
      <c r="A447" s="15">
        <f>IF(445/1000&lt;=Calculator!$B$27+0.0000001,445/1000,"")</f>
        <v/>
      </c>
      <c r="B447" s="15">
        <f>IF(A447="","",A447/Calculator!$B$27)</f>
        <v/>
      </c>
      <c r="C447" s="15">
        <f>IF(A447="","",Calculator!$B$27-A447)</f>
        <v/>
      </c>
      <c r="D447" s="17">
        <f>IF(A447="","",(Calculator!$B$11+C447)*Calculator!$B$5)</f>
        <v/>
      </c>
      <c r="E447" s="12">
        <f>IF(A447="","",IF(Calculator!$B$17=1,ROUNDUP(D447*Calculator!$B$8/3600/Calculator!$B$24-0.000000001,0),D447*Calculator!$B$8/3600/Calculator!$B$24))</f>
        <v/>
      </c>
      <c r="F447" s="16">
        <f>IF(A447="","",IF(Calculator!$B$16=1,Calculator!$B$27,A447)*Calculator!$B$5*Calculator!$B$15)</f>
        <v/>
      </c>
      <c r="G447" s="16">
        <f>IF(A447="","",E447*Calculator!$B$6+Calculator!$C$37+F447+Calculator!$B$30)</f>
        <v/>
      </c>
      <c r="H447" s="16">
        <f>IF(A447="","",Calculator!$B$40-G447)</f>
        <v/>
      </c>
      <c r="I447" s="17">
        <f>IF(A447="","",A447*Calculator!$B$5*Calculator!$B$8/3600)</f>
        <v/>
      </c>
      <c r="J447" s="12">
        <f>IF(A447="","",Calculator!$B$35-E447)</f>
        <v/>
      </c>
    </row>
    <row r="448">
      <c r="A448" s="15">
        <f>IF(446/1000&lt;=Calculator!$B$27+0.0000001,446/1000,"")</f>
        <v/>
      </c>
      <c r="B448" s="15">
        <f>IF(A448="","",A448/Calculator!$B$27)</f>
        <v/>
      </c>
      <c r="C448" s="15">
        <f>IF(A448="","",Calculator!$B$27-A448)</f>
        <v/>
      </c>
      <c r="D448" s="17">
        <f>IF(A448="","",(Calculator!$B$11+C448)*Calculator!$B$5)</f>
        <v/>
      </c>
      <c r="E448" s="12">
        <f>IF(A448="","",IF(Calculator!$B$17=1,ROUNDUP(D448*Calculator!$B$8/3600/Calculator!$B$24-0.000000001,0),D448*Calculator!$B$8/3600/Calculator!$B$24))</f>
        <v/>
      </c>
      <c r="F448" s="16">
        <f>IF(A448="","",IF(Calculator!$B$16=1,Calculator!$B$27,A448)*Calculator!$B$5*Calculator!$B$15)</f>
        <v/>
      </c>
      <c r="G448" s="16">
        <f>IF(A448="","",E448*Calculator!$B$6+Calculator!$C$37+F448+Calculator!$B$30)</f>
        <v/>
      </c>
      <c r="H448" s="16">
        <f>IF(A448="","",Calculator!$B$40-G448)</f>
        <v/>
      </c>
      <c r="I448" s="17">
        <f>IF(A448="","",A448*Calculator!$B$5*Calculator!$B$8/3600)</f>
        <v/>
      </c>
      <c r="J448" s="12">
        <f>IF(A448="","",Calculator!$B$35-E448)</f>
        <v/>
      </c>
    </row>
    <row r="449">
      <c r="A449" s="15">
        <f>IF(447/1000&lt;=Calculator!$B$27+0.0000001,447/1000,"")</f>
        <v/>
      </c>
      <c r="B449" s="15">
        <f>IF(A449="","",A449/Calculator!$B$27)</f>
        <v/>
      </c>
      <c r="C449" s="15">
        <f>IF(A449="","",Calculator!$B$27-A449)</f>
        <v/>
      </c>
      <c r="D449" s="17">
        <f>IF(A449="","",(Calculator!$B$11+C449)*Calculator!$B$5)</f>
        <v/>
      </c>
      <c r="E449" s="12">
        <f>IF(A449="","",IF(Calculator!$B$17=1,ROUNDUP(D449*Calculator!$B$8/3600/Calculator!$B$24-0.000000001,0),D449*Calculator!$B$8/3600/Calculator!$B$24))</f>
        <v/>
      </c>
      <c r="F449" s="16">
        <f>IF(A449="","",IF(Calculator!$B$16=1,Calculator!$B$27,A449)*Calculator!$B$5*Calculator!$B$15)</f>
        <v/>
      </c>
      <c r="G449" s="16">
        <f>IF(A449="","",E449*Calculator!$B$6+Calculator!$C$37+F449+Calculator!$B$30)</f>
        <v/>
      </c>
      <c r="H449" s="16">
        <f>IF(A449="","",Calculator!$B$40-G449)</f>
        <v/>
      </c>
      <c r="I449" s="17">
        <f>IF(A449="","",A449*Calculator!$B$5*Calculator!$B$8/3600)</f>
        <v/>
      </c>
      <c r="J449" s="12">
        <f>IF(A449="","",Calculator!$B$35-E449)</f>
        <v/>
      </c>
    </row>
    <row r="450">
      <c r="A450" s="15">
        <f>IF(448/1000&lt;=Calculator!$B$27+0.0000001,448/1000,"")</f>
        <v/>
      </c>
      <c r="B450" s="15">
        <f>IF(A450="","",A450/Calculator!$B$27)</f>
        <v/>
      </c>
      <c r="C450" s="15">
        <f>IF(A450="","",Calculator!$B$27-A450)</f>
        <v/>
      </c>
      <c r="D450" s="17">
        <f>IF(A450="","",(Calculator!$B$11+C450)*Calculator!$B$5)</f>
        <v/>
      </c>
      <c r="E450" s="12">
        <f>IF(A450="","",IF(Calculator!$B$17=1,ROUNDUP(D450*Calculator!$B$8/3600/Calculator!$B$24-0.000000001,0),D450*Calculator!$B$8/3600/Calculator!$B$24))</f>
        <v/>
      </c>
      <c r="F450" s="16">
        <f>IF(A450="","",IF(Calculator!$B$16=1,Calculator!$B$27,A450)*Calculator!$B$5*Calculator!$B$15)</f>
        <v/>
      </c>
      <c r="G450" s="16">
        <f>IF(A450="","",E450*Calculator!$B$6+Calculator!$C$37+F450+Calculator!$B$30)</f>
        <v/>
      </c>
      <c r="H450" s="16">
        <f>IF(A450="","",Calculator!$B$40-G450)</f>
        <v/>
      </c>
      <c r="I450" s="17">
        <f>IF(A450="","",A450*Calculator!$B$5*Calculator!$B$8/3600)</f>
        <v/>
      </c>
      <c r="J450" s="12">
        <f>IF(A450="","",Calculator!$B$35-E450)</f>
        <v/>
      </c>
    </row>
    <row r="451">
      <c r="A451" s="15">
        <f>IF(449/1000&lt;=Calculator!$B$27+0.0000001,449/1000,"")</f>
        <v/>
      </c>
      <c r="B451" s="15">
        <f>IF(A451="","",A451/Calculator!$B$27)</f>
        <v/>
      </c>
      <c r="C451" s="15">
        <f>IF(A451="","",Calculator!$B$27-A451)</f>
        <v/>
      </c>
      <c r="D451" s="17">
        <f>IF(A451="","",(Calculator!$B$11+C451)*Calculator!$B$5)</f>
        <v/>
      </c>
      <c r="E451" s="12">
        <f>IF(A451="","",IF(Calculator!$B$17=1,ROUNDUP(D451*Calculator!$B$8/3600/Calculator!$B$24-0.000000001,0),D451*Calculator!$B$8/3600/Calculator!$B$24))</f>
        <v/>
      </c>
      <c r="F451" s="16">
        <f>IF(A451="","",IF(Calculator!$B$16=1,Calculator!$B$27,A451)*Calculator!$B$5*Calculator!$B$15)</f>
        <v/>
      </c>
      <c r="G451" s="16">
        <f>IF(A451="","",E451*Calculator!$B$6+Calculator!$C$37+F451+Calculator!$B$30)</f>
        <v/>
      </c>
      <c r="H451" s="16">
        <f>IF(A451="","",Calculator!$B$40-G451)</f>
        <v/>
      </c>
      <c r="I451" s="17">
        <f>IF(A451="","",A451*Calculator!$B$5*Calculator!$B$8/3600)</f>
        <v/>
      </c>
      <c r="J451" s="12">
        <f>IF(A451="","",Calculator!$B$35-E451)</f>
        <v/>
      </c>
    </row>
    <row r="452">
      <c r="A452" s="15">
        <f>IF(450/1000&lt;=Calculator!$B$27+0.0000001,450/1000,"")</f>
        <v/>
      </c>
      <c r="B452" s="15">
        <f>IF(A452="","",A452/Calculator!$B$27)</f>
        <v/>
      </c>
      <c r="C452" s="15">
        <f>IF(A452="","",Calculator!$B$27-A452)</f>
        <v/>
      </c>
      <c r="D452" s="17">
        <f>IF(A452="","",(Calculator!$B$11+C452)*Calculator!$B$5)</f>
        <v/>
      </c>
      <c r="E452" s="12">
        <f>IF(A452="","",IF(Calculator!$B$17=1,ROUNDUP(D452*Calculator!$B$8/3600/Calculator!$B$24-0.000000001,0),D452*Calculator!$B$8/3600/Calculator!$B$24))</f>
        <v/>
      </c>
      <c r="F452" s="16">
        <f>IF(A452="","",IF(Calculator!$B$16=1,Calculator!$B$27,A452)*Calculator!$B$5*Calculator!$B$15)</f>
        <v/>
      </c>
      <c r="G452" s="16">
        <f>IF(A452="","",E452*Calculator!$B$6+Calculator!$C$37+F452+Calculator!$B$30)</f>
        <v/>
      </c>
      <c r="H452" s="16">
        <f>IF(A452="","",Calculator!$B$40-G452)</f>
        <v/>
      </c>
      <c r="I452" s="17">
        <f>IF(A452="","",A452*Calculator!$B$5*Calculator!$B$8/3600)</f>
        <v/>
      </c>
      <c r="J452" s="12">
        <f>IF(A452="","",Calculator!$B$35-E452)</f>
        <v/>
      </c>
    </row>
    <row r="453">
      <c r="A453" s="15">
        <f>IF(451/1000&lt;=Calculator!$B$27+0.0000001,451/1000,"")</f>
        <v/>
      </c>
      <c r="B453" s="15">
        <f>IF(A453="","",A453/Calculator!$B$27)</f>
        <v/>
      </c>
      <c r="C453" s="15">
        <f>IF(A453="","",Calculator!$B$27-A453)</f>
        <v/>
      </c>
      <c r="D453" s="17">
        <f>IF(A453="","",(Calculator!$B$11+C453)*Calculator!$B$5)</f>
        <v/>
      </c>
      <c r="E453" s="12">
        <f>IF(A453="","",IF(Calculator!$B$17=1,ROUNDUP(D453*Calculator!$B$8/3600/Calculator!$B$24-0.000000001,0),D453*Calculator!$B$8/3600/Calculator!$B$24))</f>
        <v/>
      </c>
      <c r="F453" s="16">
        <f>IF(A453="","",IF(Calculator!$B$16=1,Calculator!$B$27,A453)*Calculator!$B$5*Calculator!$B$15)</f>
        <v/>
      </c>
      <c r="G453" s="16">
        <f>IF(A453="","",E453*Calculator!$B$6+Calculator!$C$37+F453+Calculator!$B$30)</f>
        <v/>
      </c>
      <c r="H453" s="16">
        <f>IF(A453="","",Calculator!$B$40-G453)</f>
        <v/>
      </c>
      <c r="I453" s="17">
        <f>IF(A453="","",A453*Calculator!$B$5*Calculator!$B$8/3600)</f>
        <v/>
      </c>
      <c r="J453" s="12">
        <f>IF(A453="","",Calculator!$B$35-E453)</f>
        <v/>
      </c>
    </row>
    <row r="454">
      <c r="A454" s="15">
        <f>IF(452/1000&lt;=Calculator!$B$27+0.0000001,452/1000,"")</f>
        <v/>
      </c>
      <c r="B454" s="15">
        <f>IF(A454="","",A454/Calculator!$B$27)</f>
        <v/>
      </c>
      <c r="C454" s="15">
        <f>IF(A454="","",Calculator!$B$27-A454)</f>
        <v/>
      </c>
      <c r="D454" s="17">
        <f>IF(A454="","",(Calculator!$B$11+C454)*Calculator!$B$5)</f>
        <v/>
      </c>
      <c r="E454" s="12">
        <f>IF(A454="","",IF(Calculator!$B$17=1,ROUNDUP(D454*Calculator!$B$8/3600/Calculator!$B$24-0.000000001,0),D454*Calculator!$B$8/3600/Calculator!$B$24))</f>
        <v/>
      </c>
      <c r="F454" s="16">
        <f>IF(A454="","",IF(Calculator!$B$16=1,Calculator!$B$27,A454)*Calculator!$B$5*Calculator!$B$15)</f>
        <v/>
      </c>
      <c r="G454" s="16">
        <f>IF(A454="","",E454*Calculator!$B$6+Calculator!$C$37+F454+Calculator!$B$30)</f>
        <v/>
      </c>
      <c r="H454" s="16">
        <f>IF(A454="","",Calculator!$B$40-G454)</f>
        <v/>
      </c>
      <c r="I454" s="17">
        <f>IF(A454="","",A454*Calculator!$B$5*Calculator!$B$8/3600)</f>
        <v/>
      </c>
      <c r="J454" s="12">
        <f>IF(A454="","",Calculator!$B$35-E454)</f>
        <v/>
      </c>
    </row>
    <row r="455">
      <c r="A455" s="15">
        <f>IF(453/1000&lt;=Calculator!$B$27+0.0000001,453/1000,"")</f>
        <v/>
      </c>
      <c r="B455" s="15">
        <f>IF(A455="","",A455/Calculator!$B$27)</f>
        <v/>
      </c>
      <c r="C455" s="15">
        <f>IF(A455="","",Calculator!$B$27-A455)</f>
        <v/>
      </c>
      <c r="D455" s="17">
        <f>IF(A455="","",(Calculator!$B$11+C455)*Calculator!$B$5)</f>
        <v/>
      </c>
      <c r="E455" s="12">
        <f>IF(A455="","",IF(Calculator!$B$17=1,ROUNDUP(D455*Calculator!$B$8/3600/Calculator!$B$24-0.000000001,0),D455*Calculator!$B$8/3600/Calculator!$B$24))</f>
        <v/>
      </c>
      <c r="F455" s="16">
        <f>IF(A455="","",IF(Calculator!$B$16=1,Calculator!$B$27,A455)*Calculator!$B$5*Calculator!$B$15)</f>
        <v/>
      </c>
      <c r="G455" s="16">
        <f>IF(A455="","",E455*Calculator!$B$6+Calculator!$C$37+F455+Calculator!$B$30)</f>
        <v/>
      </c>
      <c r="H455" s="16">
        <f>IF(A455="","",Calculator!$B$40-G455)</f>
        <v/>
      </c>
      <c r="I455" s="17">
        <f>IF(A455="","",A455*Calculator!$B$5*Calculator!$B$8/3600)</f>
        <v/>
      </c>
      <c r="J455" s="12">
        <f>IF(A455="","",Calculator!$B$35-E455)</f>
        <v/>
      </c>
    </row>
    <row r="456">
      <c r="A456" s="15">
        <f>IF(454/1000&lt;=Calculator!$B$27+0.0000001,454/1000,"")</f>
        <v/>
      </c>
      <c r="B456" s="15">
        <f>IF(A456="","",A456/Calculator!$B$27)</f>
        <v/>
      </c>
      <c r="C456" s="15">
        <f>IF(A456="","",Calculator!$B$27-A456)</f>
        <v/>
      </c>
      <c r="D456" s="17">
        <f>IF(A456="","",(Calculator!$B$11+C456)*Calculator!$B$5)</f>
        <v/>
      </c>
      <c r="E456" s="12">
        <f>IF(A456="","",IF(Calculator!$B$17=1,ROUNDUP(D456*Calculator!$B$8/3600/Calculator!$B$24-0.000000001,0),D456*Calculator!$B$8/3600/Calculator!$B$24))</f>
        <v/>
      </c>
      <c r="F456" s="16">
        <f>IF(A456="","",IF(Calculator!$B$16=1,Calculator!$B$27,A456)*Calculator!$B$5*Calculator!$B$15)</f>
        <v/>
      </c>
      <c r="G456" s="16">
        <f>IF(A456="","",E456*Calculator!$B$6+Calculator!$C$37+F456+Calculator!$B$30)</f>
        <v/>
      </c>
      <c r="H456" s="16">
        <f>IF(A456="","",Calculator!$B$40-G456)</f>
        <v/>
      </c>
      <c r="I456" s="17">
        <f>IF(A456="","",A456*Calculator!$B$5*Calculator!$B$8/3600)</f>
        <v/>
      </c>
      <c r="J456" s="12">
        <f>IF(A456="","",Calculator!$B$35-E456)</f>
        <v/>
      </c>
    </row>
    <row r="457">
      <c r="A457" s="15">
        <f>IF(455/1000&lt;=Calculator!$B$27+0.0000001,455/1000,"")</f>
        <v/>
      </c>
      <c r="B457" s="15">
        <f>IF(A457="","",A457/Calculator!$B$27)</f>
        <v/>
      </c>
      <c r="C457" s="15">
        <f>IF(A457="","",Calculator!$B$27-A457)</f>
        <v/>
      </c>
      <c r="D457" s="17">
        <f>IF(A457="","",(Calculator!$B$11+C457)*Calculator!$B$5)</f>
        <v/>
      </c>
      <c r="E457" s="12">
        <f>IF(A457="","",IF(Calculator!$B$17=1,ROUNDUP(D457*Calculator!$B$8/3600/Calculator!$B$24-0.000000001,0),D457*Calculator!$B$8/3600/Calculator!$B$24))</f>
        <v/>
      </c>
      <c r="F457" s="16">
        <f>IF(A457="","",IF(Calculator!$B$16=1,Calculator!$B$27,A457)*Calculator!$B$5*Calculator!$B$15)</f>
        <v/>
      </c>
      <c r="G457" s="16">
        <f>IF(A457="","",E457*Calculator!$B$6+Calculator!$C$37+F457+Calculator!$B$30)</f>
        <v/>
      </c>
      <c r="H457" s="16">
        <f>IF(A457="","",Calculator!$B$40-G457)</f>
        <v/>
      </c>
      <c r="I457" s="17">
        <f>IF(A457="","",A457*Calculator!$B$5*Calculator!$B$8/3600)</f>
        <v/>
      </c>
      <c r="J457" s="12">
        <f>IF(A457="","",Calculator!$B$35-E457)</f>
        <v/>
      </c>
    </row>
    <row r="458">
      <c r="A458" s="15">
        <f>IF(456/1000&lt;=Calculator!$B$27+0.0000001,456/1000,"")</f>
        <v/>
      </c>
      <c r="B458" s="15">
        <f>IF(A458="","",A458/Calculator!$B$27)</f>
        <v/>
      </c>
      <c r="C458" s="15">
        <f>IF(A458="","",Calculator!$B$27-A458)</f>
        <v/>
      </c>
      <c r="D458" s="17">
        <f>IF(A458="","",(Calculator!$B$11+C458)*Calculator!$B$5)</f>
        <v/>
      </c>
      <c r="E458" s="12">
        <f>IF(A458="","",IF(Calculator!$B$17=1,ROUNDUP(D458*Calculator!$B$8/3600/Calculator!$B$24-0.000000001,0),D458*Calculator!$B$8/3600/Calculator!$B$24))</f>
        <v/>
      </c>
      <c r="F458" s="16">
        <f>IF(A458="","",IF(Calculator!$B$16=1,Calculator!$B$27,A458)*Calculator!$B$5*Calculator!$B$15)</f>
        <v/>
      </c>
      <c r="G458" s="16">
        <f>IF(A458="","",E458*Calculator!$B$6+Calculator!$C$37+F458+Calculator!$B$30)</f>
        <v/>
      </c>
      <c r="H458" s="16">
        <f>IF(A458="","",Calculator!$B$40-G458)</f>
        <v/>
      </c>
      <c r="I458" s="17">
        <f>IF(A458="","",A458*Calculator!$B$5*Calculator!$B$8/3600)</f>
        <v/>
      </c>
      <c r="J458" s="12">
        <f>IF(A458="","",Calculator!$B$35-E458)</f>
        <v/>
      </c>
    </row>
    <row r="459">
      <c r="A459" s="15">
        <f>IF(457/1000&lt;=Calculator!$B$27+0.0000001,457/1000,"")</f>
        <v/>
      </c>
      <c r="B459" s="15">
        <f>IF(A459="","",A459/Calculator!$B$27)</f>
        <v/>
      </c>
      <c r="C459" s="15">
        <f>IF(A459="","",Calculator!$B$27-A459)</f>
        <v/>
      </c>
      <c r="D459" s="17">
        <f>IF(A459="","",(Calculator!$B$11+C459)*Calculator!$B$5)</f>
        <v/>
      </c>
      <c r="E459" s="12">
        <f>IF(A459="","",IF(Calculator!$B$17=1,ROUNDUP(D459*Calculator!$B$8/3600/Calculator!$B$24-0.000000001,0),D459*Calculator!$B$8/3600/Calculator!$B$24))</f>
        <v/>
      </c>
      <c r="F459" s="16">
        <f>IF(A459="","",IF(Calculator!$B$16=1,Calculator!$B$27,A459)*Calculator!$B$5*Calculator!$B$15)</f>
        <v/>
      </c>
      <c r="G459" s="16">
        <f>IF(A459="","",E459*Calculator!$B$6+Calculator!$C$37+F459+Calculator!$B$30)</f>
        <v/>
      </c>
      <c r="H459" s="16">
        <f>IF(A459="","",Calculator!$B$40-G459)</f>
        <v/>
      </c>
      <c r="I459" s="17">
        <f>IF(A459="","",A459*Calculator!$B$5*Calculator!$B$8/3600)</f>
        <v/>
      </c>
      <c r="J459" s="12">
        <f>IF(A459="","",Calculator!$B$35-E459)</f>
        <v/>
      </c>
    </row>
    <row r="460">
      <c r="A460" s="15">
        <f>IF(458/1000&lt;=Calculator!$B$27+0.0000001,458/1000,"")</f>
        <v/>
      </c>
      <c r="B460" s="15">
        <f>IF(A460="","",A460/Calculator!$B$27)</f>
        <v/>
      </c>
      <c r="C460" s="15">
        <f>IF(A460="","",Calculator!$B$27-A460)</f>
        <v/>
      </c>
      <c r="D460" s="17">
        <f>IF(A460="","",(Calculator!$B$11+C460)*Calculator!$B$5)</f>
        <v/>
      </c>
      <c r="E460" s="12">
        <f>IF(A460="","",IF(Calculator!$B$17=1,ROUNDUP(D460*Calculator!$B$8/3600/Calculator!$B$24-0.000000001,0),D460*Calculator!$B$8/3600/Calculator!$B$24))</f>
        <v/>
      </c>
      <c r="F460" s="16">
        <f>IF(A460="","",IF(Calculator!$B$16=1,Calculator!$B$27,A460)*Calculator!$B$5*Calculator!$B$15)</f>
        <v/>
      </c>
      <c r="G460" s="16">
        <f>IF(A460="","",E460*Calculator!$B$6+Calculator!$C$37+F460+Calculator!$B$30)</f>
        <v/>
      </c>
      <c r="H460" s="16">
        <f>IF(A460="","",Calculator!$B$40-G460)</f>
        <v/>
      </c>
      <c r="I460" s="17">
        <f>IF(A460="","",A460*Calculator!$B$5*Calculator!$B$8/3600)</f>
        <v/>
      </c>
      <c r="J460" s="12">
        <f>IF(A460="","",Calculator!$B$35-E460)</f>
        <v/>
      </c>
    </row>
    <row r="461">
      <c r="A461" s="15">
        <f>IF(459/1000&lt;=Calculator!$B$27+0.0000001,459/1000,"")</f>
        <v/>
      </c>
      <c r="B461" s="15">
        <f>IF(A461="","",A461/Calculator!$B$27)</f>
        <v/>
      </c>
      <c r="C461" s="15">
        <f>IF(A461="","",Calculator!$B$27-A461)</f>
        <v/>
      </c>
      <c r="D461" s="17">
        <f>IF(A461="","",(Calculator!$B$11+C461)*Calculator!$B$5)</f>
        <v/>
      </c>
      <c r="E461" s="12">
        <f>IF(A461="","",IF(Calculator!$B$17=1,ROUNDUP(D461*Calculator!$B$8/3600/Calculator!$B$24-0.000000001,0),D461*Calculator!$B$8/3600/Calculator!$B$24))</f>
        <v/>
      </c>
      <c r="F461" s="16">
        <f>IF(A461="","",IF(Calculator!$B$16=1,Calculator!$B$27,A461)*Calculator!$B$5*Calculator!$B$15)</f>
        <v/>
      </c>
      <c r="G461" s="16">
        <f>IF(A461="","",E461*Calculator!$B$6+Calculator!$C$37+F461+Calculator!$B$30)</f>
        <v/>
      </c>
      <c r="H461" s="16">
        <f>IF(A461="","",Calculator!$B$40-G461)</f>
        <v/>
      </c>
      <c r="I461" s="17">
        <f>IF(A461="","",A461*Calculator!$B$5*Calculator!$B$8/3600)</f>
        <v/>
      </c>
      <c r="J461" s="12">
        <f>IF(A461="","",Calculator!$B$35-E461)</f>
        <v/>
      </c>
    </row>
    <row r="462">
      <c r="A462" s="15">
        <f>IF(460/1000&lt;=Calculator!$B$27+0.0000001,460/1000,"")</f>
        <v/>
      </c>
      <c r="B462" s="15">
        <f>IF(A462="","",A462/Calculator!$B$27)</f>
        <v/>
      </c>
      <c r="C462" s="15">
        <f>IF(A462="","",Calculator!$B$27-A462)</f>
        <v/>
      </c>
      <c r="D462" s="17">
        <f>IF(A462="","",(Calculator!$B$11+C462)*Calculator!$B$5)</f>
        <v/>
      </c>
      <c r="E462" s="12">
        <f>IF(A462="","",IF(Calculator!$B$17=1,ROUNDUP(D462*Calculator!$B$8/3600/Calculator!$B$24-0.000000001,0),D462*Calculator!$B$8/3600/Calculator!$B$24))</f>
        <v/>
      </c>
      <c r="F462" s="16">
        <f>IF(A462="","",IF(Calculator!$B$16=1,Calculator!$B$27,A462)*Calculator!$B$5*Calculator!$B$15)</f>
        <v/>
      </c>
      <c r="G462" s="16">
        <f>IF(A462="","",E462*Calculator!$B$6+Calculator!$C$37+F462+Calculator!$B$30)</f>
        <v/>
      </c>
      <c r="H462" s="16">
        <f>IF(A462="","",Calculator!$B$40-G462)</f>
        <v/>
      </c>
      <c r="I462" s="17">
        <f>IF(A462="","",A462*Calculator!$B$5*Calculator!$B$8/3600)</f>
        <v/>
      </c>
      <c r="J462" s="12">
        <f>IF(A462="","",Calculator!$B$35-E462)</f>
        <v/>
      </c>
    </row>
    <row r="463">
      <c r="A463" s="15">
        <f>IF(461/1000&lt;=Calculator!$B$27+0.0000001,461/1000,"")</f>
        <v/>
      </c>
      <c r="B463" s="15">
        <f>IF(A463="","",A463/Calculator!$B$27)</f>
        <v/>
      </c>
      <c r="C463" s="15">
        <f>IF(A463="","",Calculator!$B$27-A463)</f>
        <v/>
      </c>
      <c r="D463" s="17">
        <f>IF(A463="","",(Calculator!$B$11+C463)*Calculator!$B$5)</f>
        <v/>
      </c>
      <c r="E463" s="12">
        <f>IF(A463="","",IF(Calculator!$B$17=1,ROUNDUP(D463*Calculator!$B$8/3600/Calculator!$B$24-0.000000001,0),D463*Calculator!$B$8/3600/Calculator!$B$24))</f>
        <v/>
      </c>
      <c r="F463" s="16">
        <f>IF(A463="","",IF(Calculator!$B$16=1,Calculator!$B$27,A463)*Calculator!$B$5*Calculator!$B$15)</f>
        <v/>
      </c>
      <c r="G463" s="16">
        <f>IF(A463="","",E463*Calculator!$B$6+Calculator!$C$37+F463+Calculator!$B$30)</f>
        <v/>
      </c>
      <c r="H463" s="16">
        <f>IF(A463="","",Calculator!$B$40-G463)</f>
        <v/>
      </c>
      <c r="I463" s="17">
        <f>IF(A463="","",A463*Calculator!$B$5*Calculator!$B$8/3600)</f>
        <v/>
      </c>
      <c r="J463" s="12">
        <f>IF(A463="","",Calculator!$B$35-E463)</f>
        <v/>
      </c>
    </row>
    <row r="464">
      <c r="A464" s="15">
        <f>IF(462/1000&lt;=Calculator!$B$27+0.0000001,462/1000,"")</f>
        <v/>
      </c>
      <c r="B464" s="15">
        <f>IF(A464="","",A464/Calculator!$B$27)</f>
        <v/>
      </c>
      <c r="C464" s="15">
        <f>IF(A464="","",Calculator!$B$27-A464)</f>
        <v/>
      </c>
      <c r="D464" s="17">
        <f>IF(A464="","",(Calculator!$B$11+C464)*Calculator!$B$5)</f>
        <v/>
      </c>
      <c r="E464" s="12">
        <f>IF(A464="","",IF(Calculator!$B$17=1,ROUNDUP(D464*Calculator!$B$8/3600/Calculator!$B$24-0.000000001,0),D464*Calculator!$B$8/3600/Calculator!$B$24))</f>
        <v/>
      </c>
      <c r="F464" s="16">
        <f>IF(A464="","",IF(Calculator!$B$16=1,Calculator!$B$27,A464)*Calculator!$B$5*Calculator!$B$15)</f>
        <v/>
      </c>
      <c r="G464" s="16">
        <f>IF(A464="","",E464*Calculator!$B$6+Calculator!$C$37+F464+Calculator!$B$30)</f>
        <v/>
      </c>
      <c r="H464" s="16">
        <f>IF(A464="","",Calculator!$B$40-G464)</f>
        <v/>
      </c>
      <c r="I464" s="17">
        <f>IF(A464="","",A464*Calculator!$B$5*Calculator!$B$8/3600)</f>
        <v/>
      </c>
      <c r="J464" s="12">
        <f>IF(A464="","",Calculator!$B$35-E464)</f>
        <v/>
      </c>
    </row>
    <row r="465">
      <c r="A465" s="15">
        <f>IF(463/1000&lt;=Calculator!$B$27+0.0000001,463/1000,"")</f>
        <v/>
      </c>
      <c r="B465" s="15">
        <f>IF(A465="","",A465/Calculator!$B$27)</f>
        <v/>
      </c>
      <c r="C465" s="15">
        <f>IF(A465="","",Calculator!$B$27-A465)</f>
        <v/>
      </c>
      <c r="D465" s="17">
        <f>IF(A465="","",(Calculator!$B$11+C465)*Calculator!$B$5)</f>
        <v/>
      </c>
      <c r="E465" s="12">
        <f>IF(A465="","",IF(Calculator!$B$17=1,ROUNDUP(D465*Calculator!$B$8/3600/Calculator!$B$24-0.000000001,0),D465*Calculator!$B$8/3600/Calculator!$B$24))</f>
        <v/>
      </c>
      <c r="F465" s="16">
        <f>IF(A465="","",IF(Calculator!$B$16=1,Calculator!$B$27,A465)*Calculator!$B$5*Calculator!$B$15)</f>
        <v/>
      </c>
      <c r="G465" s="16">
        <f>IF(A465="","",E465*Calculator!$B$6+Calculator!$C$37+F465+Calculator!$B$30)</f>
        <v/>
      </c>
      <c r="H465" s="16">
        <f>IF(A465="","",Calculator!$B$40-G465)</f>
        <v/>
      </c>
      <c r="I465" s="17">
        <f>IF(A465="","",A465*Calculator!$B$5*Calculator!$B$8/3600)</f>
        <v/>
      </c>
      <c r="J465" s="12">
        <f>IF(A465="","",Calculator!$B$35-E465)</f>
        <v/>
      </c>
    </row>
    <row r="466">
      <c r="A466" s="15">
        <f>IF(464/1000&lt;=Calculator!$B$27+0.0000001,464/1000,"")</f>
        <v/>
      </c>
      <c r="B466" s="15">
        <f>IF(A466="","",A466/Calculator!$B$27)</f>
        <v/>
      </c>
      <c r="C466" s="15">
        <f>IF(A466="","",Calculator!$B$27-A466)</f>
        <v/>
      </c>
      <c r="D466" s="17">
        <f>IF(A466="","",(Calculator!$B$11+C466)*Calculator!$B$5)</f>
        <v/>
      </c>
      <c r="E466" s="12">
        <f>IF(A466="","",IF(Calculator!$B$17=1,ROUNDUP(D466*Calculator!$B$8/3600/Calculator!$B$24-0.000000001,0),D466*Calculator!$B$8/3600/Calculator!$B$24))</f>
        <v/>
      </c>
      <c r="F466" s="16">
        <f>IF(A466="","",IF(Calculator!$B$16=1,Calculator!$B$27,A466)*Calculator!$B$5*Calculator!$B$15)</f>
        <v/>
      </c>
      <c r="G466" s="16">
        <f>IF(A466="","",E466*Calculator!$B$6+Calculator!$C$37+F466+Calculator!$B$30)</f>
        <v/>
      </c>
      <c r="H466" s="16">
        <f>IF(A466="","",Calculator!$B$40-G466)</f>
        <v/>
      </c>
      <c r="I466" s="17">
        <f>IF(A466="","",A466*Calculator!$B$5*Calculator!$B$8/3600)</f>
        <v/>
      </c>
      <c r="J466" s="12">
        <f>IF(A466="","",Calculator!$B$35-E466)</f>
        <v/>
      </c>
    </row>
    <row r="467">
      <c r="A467" s="15">
        <f>IF(465/1000&lt;=Calculator!$B$27+0.0000001,465/1000,"")</f>
        <v/>
      </c>
      <c r="B467" s="15">
        <f>IF(A467="","",A467/Calculator!$B$27)</f>
        <v/>
      </c>
      <c r="C467" s="15">
        <f>IF(A467="","",Calculator!$B$27-A467)</f>
        <v/>
      </c>
      <c r="D467" s="17">
        <f>IF(A467="","",(Calculator!$B$11+C467)*Calculator!$B$5)</f>
        <v/>
      </c>
      <c r="E467" s="12">
        <f>IF(A467="","",IF(Calculator!$B$17=1,ROUNDUP(D467*Calculator!$B$8/3600/Calculator!$B$24-0.000000001,0),D467*Calculator!$B$8/3600/Calculator!$B$24))</f>
        <v/>
      </c>
      <c r="F467" s="16">
        <f>IF(A467="","",IF(Calculator!$B$16=1,Calculator!$B$27,A467)*Calculator!$B$5*Calculator!$B$15)</f>
        <v/>
      </c>
      <c r="G467" s="16">
        <f>IF(A467="","",E467*Calculator!$B$6+Calculator!$C$37+F467+Calculator!$B$30)</f>
        <v/>
      </c>
      <c r="H467" s="16">
        <f>IF(A467="","",Calculator!$B$40-G467)</f>
        <v/>
      </c>
      <c r="I467" s="17">
        <f>IF(A467="","",A467*Calculator!$B$5*Calculator!$B$8/3600)</f>
        <v/>
      </c>
      <c r="J467" s="12">
        <f>IF(A467="","",Calculator!$B$35-E467)</f>
        <v/>
      </c>
    </row>
    <row r="468">
      <c r="A468" s="15">
        <f>IF(466/1000&lt;=Calculator!$B$27+0.0000001,466/1000,"")</f>
        <v/>
      </c>
      <c r="B468" s="15">
        <f>IF(A468="","",A468/Calculator!$B$27)</f>
        <v/>
      </c>
      <c r="C468" s="15">
        <f>IF(A468="","",Calculator!$B$27-A468)</f>
        <v/>
      </c>
      <c r="D468" s="17">
        <f>IF(A468="","",(Calculator!$B$11+C468)*Calculator!$B$5)</f>
        <v/>
      </c>
      <c r="E468" s="12">
        <f>IF(A468="","",IF(Calculator!$B$17=1,ROUNDUP(D468*Calculator!$B$8/3600/Calculator!$B$24-0.000000001,0),D468*Calculator!$B$8/3600/Calculator!$B$24))</f>
        <v/>
      </c>
      <c r="F468" s="16">
        <f>IF(A468="","",IF(Calculator!$B$16=1,Calculator!$B$27,A468)*Calculator!$B$5*Calculator!$B$15)</f>
        <v/>
      </c>
      <c r="G468" s="16">
        <f>IF(A468="","",E468*Calculator!$B$6+Calculator!$C$37+F468+Calculator!$B$30)</f>
        <v/>
      </c>
      <c r="H468" s="16">
        <f>IF(A468="","",Calculator!$B$40-G468)</f>
        <v/>
      </c>
      <c r="I468" s="17">
        <f>IF(A468="","",A468*Calculator!$B$5*Calculator!$B$8/3600)</f>
        <v/>
      </c>
      <c r="J468" s="12">
        <f>IF(A468="","",Calculator!$B$35-E468)</f>
        <v/>
      </c>
    </row>
    <row r="469">
      <c r="A469" s="15">
        <f>IF(467/1000&lt;=Calculator!$B$27+0.0000001,467/1000,"")</f>
        <v/>
      </c>
      <c r="B469" s="15">
        <f>IF(A469="","",A469/Calculator!$B$27)</f>
        <v/>
      </c>
      <c r="C469" s="15">
        <f>IF(A469="","",Calculator!$B$27-A469)</f>
        <v/>
      </c>
      <c r="D469" s="17">
        <f>IF(A469="","",(Calculator!$B$11+C469)*Calculator!$B$5)</f>
        <v/>
      </c>
      <c r="E469" s="12">
        <f>IF(A469="","",IF(Calculator!$B$17=1,ROUNDUP(D469*Calculator!$B$8/3600/Calculator!$B$24-0.000000001,0),D469*Calculator!$B$8/3600/Calculator!$B$24))</f>
        <v/>
      </c>
      <c r="F469" s="16">
        <f>IF(A469="","",IF(Calculator!$B$16=1,Calculator!$B$27,A469)*Calculator!$B$5*Calculator!$B$15)</f>
        <v/>
      </c>
      <c r="G469" s="16">
        <f>IF(A469="","",E469*Calculator!$B$6+Calculator!$C$37+F469+Calculator!$B$30)</f>
        <v/>
      </c>
      <c r="H469" s="16">
        <f>IF(A469="","",Calculator!$B$40-G469)</f>
        <v/>
      </c>
      <c r="I469" s="17">
        <f>IF(A469="","",A469*Calculator!$B$5*Calculator!$B$8/3600)</f>
        <v/>
      </c>
      <c r="J469" s="12">
        <f>IF(A469="","",Calculator!$B$35-E469)</f>
        <v/>
      </c>
    </row>
    <row r="470">
      <c r="A470" s="15">
        <f>IF(468/1000&lt;=Calculator!$B$27+0.0000001,468/1000,"")</f>
        <v/>
      </c>
      <c r="B470" s="15">
        <f>IF(A470="","",A470/Calculator!$B$27)</f>
        <v/>
      </c>
      <c r="C470" s="15">
        <f>IF(A470="","",Calculator!$B$27-A470)</f>
        <v/>
      </c>
      <c r="D470" s="17">
        <f>IF(A470="","",(Calculator!$B$11+C470)*Calculator!$B$5)</f>
        <v/>
      </c>
      <c r="E470" s="12">
        <f>IF(A470="","",IF(Calculator!$B$17=1,ROUNDUP(D470*Calculator!$B$8/3600/Calculator!$B$24-0.000000001,0),D470*Calculator!$B$8/3600/Calculator!$B$24))</f>
        <v/>
      </c>
      <c r="F470" s="16">
        <f>IF(A470="","",IF(Calculator!$B$16=1,Calculator!$B$27,A470)*Calculator!$B$5*Calculator!$B$15)</f>
        <v/>
      </c>
      <c r="G470" s="16">
        <f>IF(A470="","",E470*Calculator!$B$6+Calculator!$C$37+F470+Calculator!$B$30)</f>
        <v/>
      </c>
      <c r="H470" s="16">
        <f>IF(A470="","",Calculator!$B$40-G470)</f>
        <v/>
      </c>
      <c r="I470" s="17">
        <f>IF(A470="","",A470*Calculator!$B$5*Calculator!$B$8/3600)</f>
        <v/>
      </c>
      <c r="J470" s="12">
        <f>IF(A470="","",Calculator!$B$35-E470)</f>
        <v/>
      </c>
    </row>
    <row r="471">
      <c r="A471" s="15">
        <f>IF(469/1000&lt;=Calculator!$B$27+0.0000001,469/1000,"")</f>
        <v/>
      </c>
      <c r="B471" s="15">
        <f>IF(A471="","",A471/Calculator!$B$27)</f>
        <v/>
      </c>
      <c r="C471" s="15">
        <f>IF(A471="","",Calculator!$B$27-A471)</f>
        <v/>
      </c>
      <c r="D471" s="17">
        <f>IF(A471="","",(Calculator!$B$11+C471)*Calculator!$B$5)</f>
        <v/>
      </c>
      <c r="E471" s="12">
        <f>IF(A471="","",IF(Calculator!$B$17=1,ROUNDUP(D471*Calculator!$B$8/3600/Calculator!$B$24-0.000000001,0),D471*Calculator!$B$8/3600/Calculator!$B$24))</f>
        <v/>
      </c>
      <c r="F471" s="16">
        <f>IF(A471="","",IF(Calculator!$B$16=1,Calculator!$B$27,A471)*Calculator!$B$5*Calculator!$B$15)</f>
        <v/>
      </c>
      <c r="G471" s="16">
        <f>IF(A471="","",E471*Calculator!$B$6+Calculator!$C$37+F471+Calculator!$B$30)</f>
        <v/>
      </c>
      <c r="H471" s="16">
        <f>IF(A471="","",Calculator!$B$40-G471)</f>
        <v/>
      </c>
      <c r="I471" s="17">
        <f>IF(A471="","",A471*Calculator!$B$5*Calculator!$B$8/3600)</f>
        <v/>
      </c>
      <c r="J471" s="12">
        <f>IF(A471="","",Calculator!$B$35-E471)</f>
        <v/>
      </c>
    </row>
    <row r="472">
      <c r="A472" s="15">
        <f>IF(470/1000&lt;=Calculator!$B$27+0.0000001,470/1000,"")</f>
        <v/>
      </c>
      <c r="B472" s="15">
        <f>IF(A472="","",A472/Calculator!$B$27)</f>
        <v/>
      </c>
      <c r="C472" s="15">
        <f>IF(A472="","",Calculator!$B$27-A472)</f>
        <v/>
      </c>
      <c r="D472" s="17">
        <f>IF(A472="","",(Calculator!$B$11+C472)*Calculator!$B$5)</f>
        <v/>
      </c>
      <c r="E472" s="12">
        <f>IF(A472="","",IF(Calculator!$B$17=1,ROUNDUP(D472*Calculator!$B$8/3600/Calculator!$B$24-0.000000001,0),D472*Calculator!$B$8/3600/Calculator!$B$24))</f>
        <v/>
      </c>
      <c r="F472" s="16">
        <f>IF(A472="","",IF(Calculator!$B$16=1,Calculator!$B$27,A472)*Calculator!$B$5*Calculator!$B$15)</f>
        <v/>
      </c>
      <c r="G472" s="16">
        <f>IF(A472="","",E472*Calculator!$B$6+Calculator!$C$37+F472+Calculator!$B$30)</f>
        <v/>
      </c>
      <c r="H472" s="16">
        <f>IF(A472="","",Calculator!$B$40-G472)</f>
        <v/>
      </c>
      <c r="I472" s="17">
        <f>IF(A472="","",A472*Calculator!$B$5*Calculator!$B$8/3600)</f>
        <v/>
      </c>
      <c r="J472" s="12">
        <f>IF(A472="","",Calculator!$B$35-E472)</f>
        <v/>
      </c>
    </row>
    <row r="473">
      <c r="A473" s="15">
        <f>IF(471/1000&lt;=Calculator!$B$27+0.0000001,471/1000,"")</f>
        <v/>
      </c>
      <c r="B473" s="15">
        <f>IF(A473="","",A473/Calculator!$B$27)</f>
        <v/>
      </c>
      <c r="C473" s="15">
        <f>IF(A473="","",Calculator!$B$27-A473)</f>
        <v/>
      </c>
      <c r="D473" s="17">
        <f>IF(A473="","",(Calculator!$B$11+C473)*Calculator!$B$5)</f>
        <v/>
      </c>
      <c r="E473" s="12">
        <f>IF(A473="","",IF(Calculator!$B$17=1,ROUNDUP(D473*Calculator!$B$8/3600/Calculator!$B$24-0.000000001,0),D473*Calculator!$B$8/3600/Calculator!$B$24))</f>
        <v/>
      </c>
      <c r="F473" s="16">
        <f>IF(A473="","",IF(Calculator!$B$16=1,Calculator!$B$27,A473)*Calculator!$B$5*Calculator!$B$15)</f>
        <v/>
      </c>
      <c r="G473" s="16">
        <f>IF(A473="","",E473*Calculator!$B$6+Calculator!$C$37+F473+Calculator!$B$30)</f>
        <v/>
      </c>
      <c r="H473" s="16">
        <f>IF(A473="","",Calculator!$B$40-G473)</f>
        <v/>
      </c>
      <c r="I473" s="17">
        <f>IF(A473="","",A473*Calculator!$B$5*Calculator!$B$8/3600)</f>
        <v/>
      </c>
      <c r="J473" s="12">
        <f>IF(A473="","",Calculator!$B$35-E473)</f>
        <v/>
      </c>
    </row>
    <row r="474">
      <c r="A474" s="15">
        <f>IF(472/1000&lt;=Calculator!$B$27+0.0000001,472/1000,"")</f>
        <v/>
      </c>
      <c r="B474" s="15">
        <f>IF(A474="","",A474/Calculator!$B$27)</f>
        <v/>
      </c>
      <c r="C474" s="15">
        <f>IF(A474="","",Calculator!$B$27-A474)</f>
        <v/>
      </c>
      <c r="D474" s="17">
        <f>IF(A474="","",(Calculator!$B$11+C474)*Calculator!$B$5)</f>
        <v/>
      </c>
      <c r="E474" s="12">
        <f>IF(A474="","",IF(Calculator!$B$17=1,ROUNDUP(D474*Calculator!$B$8/3600/Calculator!$B$24-0.000000001,0),D474*Calculator!$B$8/3600/Calculator!$B$24))</f>
        <v/>
      </c>
      <c r="F474" s="16">
        <f>IF(A474="","",IF(Calculator!$B$16=1,Calculator!$B$27,A474)*Calculator!$B$5*Calculator!$B$15)</f>
        <v/>
      </c>
      <c r="G474" s="16">
        <f>IF(A474="","",E474*Calculator!$B$6+Calculator!$C$37+F474+Calculator!$B$30)</f>
        <v/>
      </c>
      <c r="H474" s="16">
        <f>IF(A474="","",Calculator!$B$40-G474)</f>
        <v/>
      </c>
      <c r="I474" s="17">
        <f>IF(A474="","",A474*Calculator!$B$5*Calculator!$B$8/3600)</f>
        <v/>
      </c>
      <c r="J474" s="12">
        <f>IF(A474="","",Calculator!$B$35-E474)</f>
        <v/>
      </c>
    </row>
    <row r="475">
      <c r="A475" s="15">
        <f>IF(473/1000&lt;=Calculator!$B$27+0.0000001,473/1000,"")</f>
        <v/>
      </c>
      <c r="B475" s="15">
        <f>IF(A475="","",A475/Calculator!$B$27)</f>
        <v/>
      </c>
      <c r="C475" s="15">
        <f>IF(A475="","",Calculator!$B$27-A475)</f>
        <v/>
      </c>
      <c r="D475" s="17">
        <f>IF(A475="","",(Calculator!$B$11+C475)*Calculator!$B$5)</f>
        <v/>
      </c>
      <c r="E475" s="12">
        <f>IF(A475="","",IF(Calculator!$B$17=1,ROUNDUP(D475*Calculator!$B$8/3600/Calculator!$B$24-0.000000001,0),D475*Calculator!$B$8/3600/Calculator!$B$24))</f>
        <v/>
      </c>
      <c r="F475" s="16">
        <f>IF(A475="","",IF(Calculator!$B$16=1,Calculator!$B$27,A475)*Calculator!$B$5*Calculator!$B$15)</f>
        <v/>
      </c>
      <c r="G475" s="16">
        <f>IF(A475="","",E475*Calculator!$B$6+Calculator!$C$37+F475+Calculator!$B$30)</f>
        <v/>
      </c>
      <c r="H475" s="16">
        <f>IF(A475="","",Calculator!$B$40-G475)</f>
        <v/>
      </c>
      <c r="I475" s="17">
        <f>IF(A475="","",A475*Calculator!$B$5*Calculator!$B$8/3600)</f>
        <v/>
      </c>
      <c r="J475" s="12">
        <f>IF(A475="","",Calculator!$B$35-E475)</f>
        <v/>
      </c>
    </row>
    <row r="476">
      <c r="A476" s="15">
        <f>IF(474/1000&lt;=Calculator!$B$27+0.0000001,474/1000,"")</f>
        <v/>
      </c>
      <c r="B476" s="15">
        <f>IF(A476="","",A476/Calculator!$B$27)</f>
        <v/>
      </c>
      <c r="C476" s="15">
        <f>IF(A476="","",Calculator!$B$27-A476)</f>
        <v/>
      </c>
      <c r="D476" s="17">
        <f>IF(A476="","",(Calculator!$B$11+C476)*Calculator!$B$5)</f>
        <v/>
      </c>
      <c r="E476" s="12">
        <f>IF(A476="","",IF(Calculator!$B$17=1,ROUNDUP(D476*Calculator!$B$8/3600/Calculator!$B$24-0.000000001,0),D476*Calculator!$B$8/3600/Calculator!$B$24))</f>
        <v/>
      </c>
      <c r="F476" s="16">
        <f>IF(A476="","",IF(Calculator!$B$16=1,Calculator!$B$27,A476)*Calculator!$B$5*Calculator!$B$15)</f>
        <v/>
      </c>
      <c r="G476" s="16">
        <f>IF(A476="","",E476*Calculator!$B$6+Calculator!$C$37+F476+Calculator!$B$30)</f>
        <v/>
      </c>
      <c r="H476" s="16">
        <f>IF(A476="","",Calculator!$B$40-G476)</f>
        <v/>
      </c>
      <c r="I476" s="17">
        <f>IF(A476="","",A476*Calculator!$B$5*Calculator!$B$8/3600)</f>
        <v/>
      </c>
      <c r="J476" s="12">
        <f>IF(A476="","",Calculator!$B$35-E476)</f>
        <v/>
      </c>
    </row>
    <row r="477">
      <c r="A477" s="15">
        <f>IF(475/1000&lt;=Calculator!$B$27+0.0000001,475/1000,"")</f>
        <v/>
      </c>
      <c r="B477" s="15">
        <f>IF(A477="","",A477/Calculator!$B$27)</f>
        <v/>
      </c>
      <c r="C477" s="15">
        <f>IF(A477="","",Calculator!$B$27-A477)</f>
        <v/>
      </c>
      <c r="D477" s="17">
        <f>IF(A477="","",(Calculator!$B$11+C477)*Calculator!$B$5)</f>
        <v/>
      </c>
      <c r="E477" s="12">
        <f>IF(A477="","",IF(Calculator!$B$17=1,ROUNDUP(D477*Calculator!$B$8/3600/Calculator!$B$24-0.000000001,0),D477*Calculator!$B$8/3600/Calculator!$B$24))</f>
        <v/>
      </c>
      <c r="F477" s="16">
        <f>IF(A477="","",IF(Calculator!$B$16=1,Calculator!$B$27,A477)*Calculator!$B$5*Calculator!$B$15)</f>
        <v/>
      </c>
      <c r="G477" s="16">
        <f>IF(A477="","",E477*Calculator!$B$6+Calculator!$C$37+F477+Calculator!$B$30)</f>
        <v/>
      </c>
      <c r="H477" s="16">
        <f>IF(A477="","",Calculator!$B$40-G477)</f>
        <v/>
      </c>
      <c r="I477" s="17">
        <f>IF(A477="","",A477*Calculator!$B$5*Calculator!$B$8/3600)</f>
        <v/>
      </c>
      <c r="J477" s="12">
        <f>IF(A477="","",Calculator!$B$35-E477)</f>
        <v/>
      </c>
    </row>
    <row r="478">
      <c r="A478" s="15">
        <f>IF(476/1000&lt;=Calculator!$B$27+0.0000001,476/1000,"")</f>
        <v/>
      </c>
      <c r="B478" s="15">
        <f>IF(A478="","",A478/Calculator!$B$27)</f>
        <v/>
      </c>
      <c r="C478" s="15">
        <f>IF(A478="","",Calculator!$B$27-A478)</f>
        <v/>
      </c>
      <c r="D478" s="17">
        <f>IF(A478="","",(Calculator!$B$11+C478)*Calculator!$B$5)</f>
        <v/>
      </c>
      <c r="E478" s="12">
        <f>IF(A478="","",IF(Calculator!$B$17=1,ROUNDUP(D478*Calculator!$B$8/3600/Calculator!$B$24-0.000000001,0),D478*Calculator!$B$8/3600/Calculator!$B$24))</f>
        <v/>
      </c>
      <c r="F478" s="16">
        <f>IF(A478="","",IF(Calculator!$B$16=1,Calculator!$B$27,A478)*Calculator!$B$5*Calculator!$B$15)</f>
        <v/>
      </c>
      <c r="G478" s="16">
        <f>IF(A478="","",E478*Calculator!$B$6+Calculator!$C$37+F478+Calculator!$B$30)</f>
        <v/>
      </c>
      <c r="H478" s="16">
        <f>IF(A478="","",Calculator!$B$40-G478)</f>
        <v/>
      </c>
      <c r="I478" s="17">
        <f>IF(A478="","",A478*Calculator!$B$5*Calculator!$B$8/3600)</f>
        <v/>
      </c>
      <c r="J478" s="12">
        <f>IF(A478="","",Calculator!$B$35-E478)</f>
        <v/>
      </c>
    </row>
    <row r="479">
      <c r="A479" s="15">
        <f>IF(477/1000&lt;=Calculator!$B$27+0.0000001,477/1000,"")</f>
        <v/>
      </c>
      <c r="B479" s="15">
        <f>IF(A479="","",A479/Calculator!$B$27)</f>
        <v/>
      </c>
      <c r="C479" s="15">
        <f>IF(A479="","",Calculator!$B$27-A479)</f>
        <v/>
      </c>
      <c r="D479" s="17">
        <f>IF(A479="","",(Calculator!$B$11+C479)*Calculator!$B$5)</f>
        <v/>
      </c>
      <c r="E479" s="12">
        <f>IF(A479="","",IF(Calculator!$B$17=1,ROUNDUP(D479*Calculator!$B$8/3600/Calculator!$B$24-0.000000001,0),D479*Calculator!$B$8/3600/Calculator!$B$24))</f>
        <v/>
      </c>
      <c r="F479" s="16">
        <f>IF(A479="","",IF(Calculator!$B$16=1,Calculator!$B$27,A479)*Calculator!$B$5*Calculator!$B$15)</f>
        <v/>
      </c>
      <c r="G479" s="16">
        <f>IF(A479="","",E479*Calculator!$B$6+Calculator!$C$37+F479+Calculator!$B$30)</f>
        <v/>
      </c>
      <c r="H479" s="16">
        <f>IF(A479="","",Calculator!$B$40-G479)</f>
        <v/>
      </c>
      <c r="I479" s="17">
        <f>IF(A479="","",A479*Calculator!$B$5*Calculator!$B$8/3600)</f>
        <v/>
      </c>
      <c r="J479" s="12">
        <f>IF(A479="","",Calculator!$B$35-E479)</f>
        <v/>
      </c>
    </row>
    <row r="480">
      <c r="A480" s="15">
        <f>IF(478/1000&lt;=Calculator!$B$27+0.0000001,478/1000,"")</f>
        <v/>
      </c>
      <c r="B480" s="15">
        <f>IF(A480="","",A480/Calculator!$B$27)</f>
        <v/>
      </c>
      <c r="C480" s="15">
        <f>IF(A480="","",Calculator!$B$27-A480)</f>
        <v/>
      </c>
      <c r="D480" s="17">
        <f>IF(A480="","",(Calculator!$B$11+C480)*Calculator!$B$5)</f>
        <v/>
      </c>
      <c r="E480" s="12">
        <f>IF(A480="","",IF(Calculator!$B$17=1,ROUNDUP(D480*Calculator!$B$8/3600/Calculator!$B$24-0.000000001,0),D480*Calculator!$B$8/3600/Calculator!$B$24))</f>
        <v/>
      </c>
      <c r="F480" s="16">
        <f>IF(A480="","",IF(Calculator!$B$16=1,Calculator!$B$27,A480)*Calculator!$B$5*Calculator!$B$15)</f>
        <v/>
      </c>
      <c r="G480" s="16">
        <f>IF(A480="","",E480*Calculator!$B$6+Calculator!$C$37+F480+Calculator!$B$30)</f>
        <v/>
      </c>
      <c r="H480" s="16">
        <f>IF(A480="","",Calculator!$B$40-G480)</f>
        <v/>
      </c>
      <c r="I480" s="17">
        <f>IF(A480="","",A480*Calculator!$B$5*Calculator!$B$8/3600)</f>
        <v/>
      </c>
      <c r="J480" s="12">
        <f>IF(A480="","",Calculator!$B$35-E480)</f>
        <v/>
      </c>
    </row>
    <row r="481">
      <c r="A481" s="15">
        <f>IF(479/1000&lt;=Calculator!$B$27+0.0000001,479/1000,"")</f>
        <v/>
      </c>
      <c r="B481" s="15">
        <f>IF(A481="","",A481/Calculator!$B$27)</f>
        <v/>
      </c>
      <c r="C481" s="15">
        <f>IF(A481="","",Calculator!$B$27-A481)</f>
        <v/>
      </c>
      <c r="D481" s="17">
        <f>IF(A481="","",(Calculator!$B$11+C481)*Calculator!$B$5)</f>
        <v/>
      </c>
      <c r="E481" s="12">
        <f>IF(A481="","",IF(Calculator!$B$17=1,ROUNDUP(D481*Calculator!$B$8/3600/Calculator!$B$24-0.000000001,0),D481*Calculator!$B$8/3600/Calculator!$B$24))</f>
        <v/>
      </c>
      <c r="F481" s="16">
        <f>IF(A481="","",IF(Calculator!$B$16=1,Calculator!$B$27,A481)*Calculator!$B$5*Calculator!$B$15)</f>
        <v/>
      </c>
      <c r="G481" s="16">
        <f>IF(A481="","",E481*Calculator!$B$6+Calculator!$C$37+F481+Calculator!$B$30)</f>
        <v/>
      </c>
      <c r="H481" s="16">
        <f>IF(A481="","",Calculator!$B$40-G481)</f>
        <v/>
      </c>
      <c r="I481" s="17">
        <f>IF(A481="","",A481*Calculator!$B$5*Calculator!$B$8/3600)</f>
        <v/>
      </c>
      <c r="J481" s="12">
        <f>IF(A481="","",Calculator!$B$35-E481)</f>
        <v/>
      </c>
    </row>
    <row r="482">
      <c r="A482" s="15">
        <f>IF(480/1000&lt;=Calculator!$B$27+0.0000001,480/1000,"")</f>
        <v/>
      </c>
      <c r="B482" s="15">
        <f>IF(A482="","",A482/Calculator!$B$27)</f>
        <v/>
      </c>
      <c r="C482" s="15">
        <f>IF(A482="","",Calculator!$B$27-A482)</f>
        <v/>
      </c>
      <c r="D482" s="17">
        <f>IF(A482="","",(Calculator!$B$11+C482)*Calculator!$B$5)</f>
        <v/>
      </c>
      <c r="E482" s="12">
        <f>IF(A482="","",IF(Calculator!$B$17=1,ROUNDUP(D482*Calculator!$B$8/3600/Calculator!$B$24-0.000000001,0),D482*Calculator!$B$8/3600/Calculator!$B$24))</f>
        <v/>
      </c>
      <c r="F482" s="16">
        <f>IF(A482="","",IF(Calculator!$B$16=1,Calculator!$B$27,A482)*Calculator!$B$5*Calculator!$B$15)</f>
        <v/>
      </c>
      <c r="G482" s="16">
        <f>IF(A482="","",E482*Calculator!$B$6+Calculator!$C$37+F482+Calculator!$B$30)</f>
        <v/>
      </c>
      <c r="H482" s="16">
        <f>IF(A482="","",Calculator!$B$40-G482)</f>
        <v/>
      </c>
      <c r="I482" s="17">
        <f>IF(A482="","",A482*Calculator!$B$5*Calculator!$B$8/3600)</f>
        <v/>
      </c>
      <c r="J482" s="12">
        <f>IF(A482="","",Calculator!$B$35-E482)</f>
        <v/>
      </c>
    </row>
    <row r="483">
      <c r="A483" s="15">
        <f>IF(481/1000&lt;=Calculator!$B$27+0.0000001,481/1000,"")</f>
        <v/>
      </c>
      <c r="B483" s="15">
        <f>IF(A483="","",A483/Calculator!$B$27)</f>
        <v/>
      </c>
      <c r="C483" s="15">
        <f>IF(A483="","",Calculator!$B$27-A483)</f>
        <v/>
      </c>
      <c r="D483" s="17">
        <f>IF(A483="","",(Calculator!$B$11+C483)*Calculator!$B$5)</f>
        <v/>
      </c>
      <c r="E483" s="12">
        <f>IF(A483="","",IF(Calculator!$B$17=1,ROUNDUP(D483*Calculator!$B$8/3600/Calculator!$B$24-0.000000001,0),D483*Calculator!$B$8/3600/Calculator!$B$24))</f>
        <v/>
      </c>
      <c r="F483" s="16">
        <f>IF(A483="","",IF(Calculator!$B$16=1,Calculator!$B$27,A483)*Calculator!$B$5*Calculator!$B$15)</f>
        <v/>
      </c>
      <c r="G483" s="16">
        <f>IF(A483="","",E483*Calculator!$B$6+Calculator!$C$37+F483+Calculator!$B$30)</f>
        <v/>
      </c>
      <c r="H483" s="16">
        <f>IF(A483="","",Calculator!$B$40-G483)</f>
        <v/>
      </c>
      <c r="I483" s="17">
        <f>IF(A483="","",A483*Calculator!$B$5*Calculator!$B$8/3600)</f>
        <v/>
      </c>
      <c r="J483" s="12">
        <f>IF(A483="","",Calculator!$B$35-E483)</f>
        <v/>
      </c>
    </row>
    <row r="484">
      <c r="A484" s="15">
        <f>IF(482/1000&lt;=Calculator!$B$27+0.0000001,482/1000,"")</f>
        <v/>
      </c>
      <c r="B484" s="15">
        <f>IF(A484="","",A484/Calculator!$B$27)</f>
        <v/>
      </c>
      <c r="C484" s="15">
        <f>IF(A484="","",Calculator!$B$27-A484)</f>
        <v/>
      </c>
      <c r="D484" s="17">
        <f>IF(A484="","",(Calculator!$B$11+C484)*Calculator!$B$5)</f>
        <v/>
      </c>
      <c r="E484" s="12">
        <f>IF(A484="","",IF(Calculator!$B$17=1,ROUNDUP(D484*Calculator!$B$8/3600/Calculator!$B$24-0.000000001,0),D484*Calculator!$B$8/3600/Calculator!$B$24))</f>
        <v/>
      </c>
      <c r="F484" s="16">
        <f>IF(A484="","",IF(Calculator!$B$16=1,Calculator!$B$27,A484)*Calculator!$B$5*Calculator!$B$15)</f>
        <v/>
      </c>
      <c r="G484" s="16">
        <f>IF(A484="","",E484*Calculator!$B$6+Calculator!$C$37+F484+Calculator!$B$30)</f>
        <v/>
      </c>
      <c r="H484" s="16">
        <f>IF(A484="","",Calculator!$B$40-G484)</f>
        <v/>
      </c>
      <c r="I484" s="17">
        <f>IF(A484="","",A484*Calculator!$B$5*Calculator!$B$8/3600)</f>
        <v/>
      </c>
      <c r="J484" s="12">
        <f>IF(A484="","",Calculator!$B$35-E484)</f>
        <v/>
      </c>
    </row>
    <row r="485">
      <c r="A485" s="15">
        <f>IF(483/1000&lt;=Calculator!$B$27+0.0000001,483/1000,"")</f>
        <v/>
      </c>
      <c r="B485" s="15">
        <f>IF(A485="","",A485/Calculator!$B$27)</f>
        <v/>
      </c>
      <c r="C485" s="15">
        <f>IF(A485="","",Calculator!$B$27-A485)</f>
        <v/>
      </c>
      <c r="D485" s="17">
        <f>IF(A485="","",(Calculator!$B$11+C485)*Calculator!$B$5)</f>
        <v/>
      </c>
      <c r="E485" s="12">
        <f>IF(A485="","",IF(Calculator!$B$17=1,ROUNDUP(D485*Calculator!$B$8/3600/Calculator!$B$24-0.000000001,0),D485*Calculator!$B$8/3600/Calculator!$B$24))</f>
        <v/>
      </c>
      <c r="F485" s="16">
        <f>IF(A485="","",IF(Calculator!$B$16=1,Calculator!$B$27,A485)*Calculator!$B$5*Calculator!$B$15)</f>
        <v/>
      </c>
      <c r="G485" s="16">
        <f>IF(A485="","",E485*Calculator!$B$6+Calculator!$C$37+F485+Calculator!$B$30)</f>
        <v/>
      </c>
      <c r="H485" s="16">
        <f>IF(A485="","",Calculator!$B$40-G485)</f>
        <v/>
      </c>
      <c r="I485" s="17">
        <f>IF(A485="","",A485*Calculator!$B$5*Calculator!$B$8/3600)</f>
        <v/>
      </c>
      <c r="J485" s="12">
        <f>IF(A485="","",Calculator!$B$35-E485)</f>
        <v/>
      </c>
    </row>
    <row r="486">
      <c r="A486" s="15">
        <f>IF(484/1000&lt;=Calculator!$B$27+0.0000001,484/1000,"")</f>
        <v/>
      </c>
      <c r="B486" s="15">
        <f>IF(A486="","",A486/Calculator!$B$27)</f>
        <v/>
      </c>
      <c r="C486" s="15">
        <f>IF(A486="","",Calculator!$B$27-A486)</f>
        <v/>
      </c>
      <c r="D486" s="17">
        <f>IF(A486="","",(Calculator!$B$11+C486)*Calculator!$B$5)</f>
        <v/>
      </c>
      <c r="E486" s="12">
        <f>IF(A486="","",IF(Calculator!$B$17=1,ROUNDUP(D486*Calculator!$B$8/3600/Calculator!$B$24-0.000000001,0),D486*Calculator!$B$8/3600/Calculator!$B$24))</f>
        <v/>
      </c>
      <c r="F486" s="16">
        <f>IF(A486="","",IF(Calculator!$B$16=1,Calculator!$B$27,A486)*Calculator!$B$5*Calculator!$B$15)</f>
        <v/>
      </c>
      <c r="G486" s="16">
        <f>IF(A486="","",E486*Calculator!$B$6+Calculator!$C$37+F486+Calculator!$B$30)</f>
        <v/>
      </c>
      <c r="H486" s="16">
        <f>IF(A486="","",Calculator!$B$40-G486)</f>
        <v/>
      </c>
      <c r="I486" s="17">
        <f>IF(A486="","",A486*Calculator!$B$5*Calculator!$B$8/3600)</f>
        <v/>
      </c>
      <c r="J486" s="12">
        <f>IF(A486="","",Calculator!$B$35-E486)</f>
        <v/>
      </c>
    </row>
    <row r="487">
      <c r="A487" s="15">
        <f>IF(485/1000&lt;=Calculator!$B$27+0.0000001,485/1000,"")</f>
        <v/>
      </c>
      <c r="B487" s="15">
        <f>IF(A487="","",A487/Calculator!$B$27)</f>
        <v/>
      </c>
      <c r="C487" s="15">
        <f>IF(A487="","",Calculator!$B$27-A487)</f>
        <v/>
      </c>
      <c r="D487" s="17">
        <f>IF(A487="","",(Calculator!$B$11+C487)*Calculator!$B$5)</f>
        <v/>
      </c>
      <c r="E487" s="12">
        <f>IF(A487="","",IF(Calculator!$B$17=1,ROUNDUP(D487*Calculator!$B$8/3600/Calculator!$B$24-0.000000001,0),D487*Calculator!$B$8/3600/Calculator!$B$24))</f>
        <v/>
      </c>
      <c r="F487" s="16">
        <f>IF(A487="","",IF(Calculator!$B$16=1,Calculator!$B$27,A487)*Calculator!$B$5*Calculator!$B$15)</f>
        <v/>
      </c>
      <c r="G487" s="16">
        <f>IF(A487="","",E487*Calculator!$B$6+Calculator!$C$37+F487+Calculator!$B$30)</f>
        <v/>
      </c>
      <c r="H487" s="16">
        <f>IF(A487="","",Calculator!$B$40-G487)</f>
        <v/>
      </c>
      <c r="I487" s="17">
        <f>IF(A487="","",A487*Calculator!$B$5*Calculator!$B$8/3600)</f>
        <v/>
      </c>
      <c r="J487" s="12">
        <f>IF(A487="","",Calculator!$B$35-E487)</f>
        <v/>
      </c>
    </row>
    <row r="488">
      <c r="A488" s="15">
        <f>IF(486/1000&lt;=Calculator!$B$27+0.0000001,486/1000,"")</f>
        <v/>
      </c>
      <c r="B488" s="15">
        <f>IF(A488="","",A488/Calculator!$B$27)</f>
        <v/>
      </c>
      <c r="C488" s="15">
        <f>IF(A488="","",Calculator!$B$27-A488)</f>
        <v/>
      </c>
      <c r="D488" s="17">
        <f>IF(A488="","",(Calculator!$B$11+C488)*Calculator!$B$5)</f>
        <v/>
      </c>
      <c r="E488" s="12">
        <f>IF(A488="","",IF(Calculator!$B$17=1,ROUNDUP(D488*Calculator!$B$8/3600/Calculator!$B$24-0.000000001,0),D488*Calculator!$B$8/3600/Calculator!$B$24))</f>
        <v/>
      </c>
      <c r="F488" s="16">
        <f>IF(A488="","",IF(Calculator!$B$16=1,Calculator!$B$27,A488)*Calculator!$B$5*Calculator!$B$15)</f>
        <v/>
      </c>
      <c r="G488" s="16">
        <f>IF(A488="","",E488*Calculator!$B$6+Calculator!$C$37+F488+Calculator!$B$30)</f>
        <v/>
      </c>
      <c r="H488" s="16">
        <f>IF(A488="","",Calculator!$B$40-G488)</f>
        <v/>
      </c>
      <c r="I488" s="17">
        <f>IF(A488="","",A488*Calculator!$B$5*Calculator!$B$8/3600)</f>
        <v/>
      </c>
      <c r="J488" s="12">
        <f>IF(A488="","",Calculator!$B$35-E488)</f>
        <v/>
      </c>
    </row>
    <row r="489">
      <c r="A489" s="15">
        <f>IF(487/1000&lt;=Calculator!$B$27+0.0000001,487/1000,"")</f>
        <v/>
      </c>
      <c r="B489" s="15">
        <f>IF(A489="","",A489/Calculator!$B$27)</f>
        <v/>
      </c>
      <c r="C489" s="15">
        <f>IF(A489="","",Calculator!$B$27-A489)</f>
        <v/>
      </c>
      <c r="D489" s="17">
        <f>IF(A489="","",(Calculator!$B$11+C489)*Calculator!$B$5)</f>
        <v/>
      </c>
      <c r="E489" s="12">
        <f>IF(A489="","",IF(Calculator!$B$17=1,ROUNDUP(D489*Calculator!$B$8/3600/Calculator!$B$24-0.000000001,0),D489*Calculator!$B$8/3600/Calculator!$B$24))</f>
        <v/>
      </c>
      <c r="F489" s="16">
        <f>IF(A489="","",IF(Calculator!$B$16=1,Calculator!$B$27,A489)*Calculator!$B$5*Calculator!$B$15)</f>
        <v/>
      </c>
      <c r="G489" s="16">
        <f>IF(A489="","",E489*Calculator!$B$6+Calculator!$C$37+F489+Calculator!$B$30)</f>
        <v/>
      </c>
      <c r="H489" s="16">
        <f>IF(A489="","",Calculator!$B$40-G489)</f>
        <v/>
      </c>
      <c r="I489" s="17">
        <f>IF(A489="","",A489*Calculator!$B$5*Calculator!$B$8/3600)</f>
        <v/>
      </c>
      <c r="J489" s="12">
        <f>IF(A489="","",Calculator!$B$35-E489)</f>
        <v/>
      </c>
    </row>
    <row r="490">
      <c r="A490" s="15">
        <f>IF(488/1000&lt;=Calculator!$B$27+0.0000001,488/1000,"")</f>
        <v/>
      </c>
      <c r="B490" s="15">
        <f>IF(A490="","",A490/Calculator!$B$27)</f>
        <v/>
      </c>
      <c r="C490" s="15">
        <f>IF(A490="","",Calculator!$B$27-A490)</f>
        <v/>
      </c>
      <c r="D490" s="17">
        <f>IF(A490="","",(Calculator!$B$11+C490)*Calculator!$B$5)</f>
        <v/>
      </c>
      <c r="E490" s="12">
        <f>IF(A490="","",IF(Calculator!$B$17=1,ROUNDUP(D490*Calculator!$B$8/3600/Calculator!$B$24-0.000000001,0),D490*Calculator!$B$8/3600/Calculator!$B$24))</f>
        <v/>
      </c>
      <c r="F490" s="16">
        <f>IF(A490="","",IF(Calculator!$B$16=1,Calculator!$B$27,A490)*Calculator!$B$5*Calculator!$B$15)</f>
        <v/>
      </c>
      <c r="G490" s="16">
        <f>IF(A490="","",E490*Calculator!$B$6+Calculator!$C$37+F490+Calculator!$B$30)</f>
        <v/>
      </c>
      <c r="H490" s="16">
        <f>IF(A490="","",Calculator!$B$40-G490)</f>
        <v/>
      </c>
      <c r="I490" s="17">
        <f>IF(A490="","",A490*Calculator!$B$5*Calculator!$B$8/3600)</f>
        <v/>
      </c>
      <c r="J490" s="12">
        <f>IF(A490="","",Calculator!$B$35-E490)</f>
        <v/>
      </c>
    </row>
    <row r="491">
      <c r="A491" s="15">
        <f>IF(489/1000&lt;=Calculator!$B$27+0.0000001,489/1000,"")</f>
        <v/>
      </c>
      <c r="B491" s="15">
        <f>IF(A491="","",A491/Calculator!$B$27)</f>
        <v/>
      </c>
      <c r="C491" s="15">
        <f>IF(A491="","",Calculator!$B$27-A491)</f>
        <v/>
      </c>
      <c r="D491" s="17">
        <f>IF(A491="","",(Calculator!$B$11+C491)*Calculator!$B$5)</f>
        <v/>
      </c>
      <c r="E491" s="12">
        <f>IF(A491="","",IF(Calculator!$B$17=1,ROUNDUP(D491*Calculator!$B$8/3600/Calculator!$B$24-0.000000001,0),D491*Calculator!$B$8/3600/Calculator!$B$24))</f>
        <v/>
      </c>
      <c r="F491" s="16">
        <f>IF(A491="","",IF(Calculator!$B$16=1,Calculator!$B$27,A491)*Calculator!$B$5*Calculator!$B$15)</f>
        <v/>
      </c>
      <c r="G491" s="16">
        <f>IF(A491="","",E491*Calculator!$B$6+Calculator!$C$37+F491+Calculator!$B$30)</f>
        <v/>
      </c>
      <c r="H491" s="16">
        <f>IF(A491="","",Calculator!$B$40-G491)</f>
        <v/>
      </c>
      <c r="I491" s="17">
        <f>IF(A491="","",A491*Calculator!$B$5*Calculator!$B$8/3600)</f>
        <v/>
      </c>
      <c r="J491" s="12">
        <f>IF(A491="","",Calculator!$B$35-E491)</f>
        <v/>
      </c>
    </row>
    <row r="492">
      <c r="A492" s="15">
        <f>IF(490/1000&lt;=Calculator!$B$27+0.0000001,490/1000,"")</f>
        <v/>
      </c>
      <c r="B492" s="15">
        <f>IF(A492="","",A492/Calculator!$B$27)</f>
        <v/>
      </c>
      <c r="C492" s="15">
        <f>IF(A492="","",Calculator!$B$27-A492)</f>
        <v/>
      </c>
      <c r="D492" s="17">
        <f>IF(A492="","",(Calculator!$B$11+C492)*Calculator!$B$5)</f>
        <v/>
      </c>
      <c r="E492" s="12">
        <f>IF(A492="","",IF(Calculator!$B$17=1,ROUNDUP(D492*Calculator!$B$8/3600/Calculator!$B$24-0.000000001,0),D492*Calculator!$B$8/3600/Calculator!$B$24))</f>
        <v/>
      </c>
      <c r="F492" s="16">
        <f>IF(A492="","",IF(Calculator!$B$16=1,Calculator!$B$27,A492)*Calculator!$B$5*Calculator!$B$15)</f>
        <v/>
      </c>
      <c r="G492" s="16">
        <f>IF(A492="","",E492*Calculator!$B$6+Calculator!$C$37+F492+Calculator!$B$30)</f>
        <v/>
      </c>
      <c r="H492" s="16">
        <f>IF(A492="","",Calculator!$B$40-G492)</f>
        <v/>
      </c>
      <c r="I492" s="17">
        <f>IF(A492="","",A492*Calculator!$B$5*Calculator!$B$8/3600)</f>
        <v/>
      </c>
      <c r="J492" s="12">
        <f>IF(A492="","",Calculator!$B$35-E492)</f>
        <v/>
      </c>
    </row>
    <row r="493">
      <c r="A493" s="15">
        <f>IF(491/1000&lt;=Calculator!$B$27+0.0000001,491/1000,"")</f>
        <v/>
      </c>
      <c r="B493" s="15">
        <f>IF(A493="","",A493/Calculator!$B$27)</f>
        <v/>
      </c>
      <c r="C493" s="15">
        <f>IF(A493="","",Calculator!$B$27-A493)</f>
        <v/>
      </c>
      <c r="D493" s="17">
        <f>IF(A493="","",(Calculator!$B$11+C493)*Calculator!$B$5)</f>
        <v/>
      </c>
      <c r="E493" s="12">
        <f>IF(A493="","",IF(Calculator!$B$17=1,ROUNDUP(D493*Calculator!$B$8/3600/Calculator!$B$24-0.000000001,0),D493*Calculator!$B$8/3600/Calculator!$B$24))</f>
        <v/>
      </c>
      <c r="F493" s="16">
        <f>IF(A493="","",IF(Calculator!$B$16=1,Calculator!$B$27,A493)*Calculator!$B$5*Calculator!$B$15)</f>
        <v/>
      </c>
      <c r="G493" s="16">
        <f>IF(A493="","",E493*Calculator!$B$6+Calculator!$C$37+F493+Calculator!$B$30)</f>
        <v/>
      </c>
      <c r="H493" s="16">
        <f>IF(A493="","",Calculator!$B$40-G493)</f>
        <v/>
      </c>
      <c r="I493" s="17">
        <f>IF(A493="","",A493*Calculator!$B$5*Calculator!$B$8/3600)</f>
        <v/>
      </c>
      <c r="J493" s="12">
        <f>IF(A493="","",Calculator!$B$35-E493)</f>
        <v/>
      </c>
    </row>
    <row r="494">
      <c r="A494" s="15">
        <f>IF(492/1000&lt;=Calculator!$B$27+0.0000001,492/1000,"")</f>
        <v/>
      </c>
      <c r="B494" s="15">
        <f>IF(A494="","",A494/Calculator!$B$27)</f>
        <v/>
      </c>
      <c r="C494" s="15">
        <f>IF(A494="","",Calculator!$B$27-A494)</f>
        <v/>
      </c>
      <c r="D494" s="17">
        <f>IF(A494="","",(Calculator!$B$11+C494)*Calculator!$B$5)</f>
        <v/>
      </c>
      <c r="E494" s="12">
        <f>IF(A494="","",IF(Calculator!$B$17=1,ROUNDUP(D494*Calculator!$B$8/3600/Calculator!$B$24-0.000000001,0),D494*Calculator!$B$8/3600/Calculator!$B$24))</f>
        <v/>
      </c>
      <c r="F494" s="16">
        <f>IF(A494="","",IF(Calculator!$B$16=1,Calculator!$B$27,A494)*Calculator!$B$5*Calculator!$B$15)</f>
        <v/>
      </c>
      <c r="G494" s="16">
        <f>IF(A494="","",E494*Calculator!$B$6+Calculator!$C$37+F494+Calculator!$B$30)</f>
        <v/>
      </c>
      <c r="H494" s="16">
        <f>IF(A494="","",Calculator!$B$40-G494)</f>
        <v/>
      </c>
      <c r="I494" s="17">
        <f>IF(A494="","",A494*Calculator!$B$5*Calculator!$B$8/3600)</f>
        <v/>
      </c>
      <c r="J494" s="12">
        <f>IF(A494="","",Calculator!$B$35-E494)</f>
        <v/>
      </c>
    </row>
    <row r="495">
      <c r="A495" s="15">
        <f>IF(493/1000&lt;=Calculator!$B$27+0.0000001,493/1000,"")</f>
        <v/>
      </c>
      <c r="B495" s="15">
        <f>IF(A495="","",A495/Calculator!$B$27)</f>
        <v/>
      </c>
      <c r="C495" s="15">
        <f>IF(A495="","",Calculator!$B$27-A495)</f>
        <v/>
      </c>
      <c r="D495" s="17">
        <f>IF(A495="","",(Calculator!$B$11+C495)*Calculator!$B$5)</f>
        <v/>
      </c>
      <c r="E495" s="12">
        <f>IF(A495="","",IF(Calculator!$B$17=1,ROUNDUP(D495*Calculator!$B$8/3600/Calculator!$B$24-0.000000001,0),D495*Calculator!$B$8/3600/Calculator!$B$24))</f>
        <v/>
      </c>
      <c r="F495" s="16">
        <f>IF(A495="","",IF(Calculator!$B$16=1,Calculator!$B$27,A495)*Calculator!$B$5*Calculator!$B$15)</f>
        <v/>
      </c>
      <c r="G495" s="16">
        <f>IF(A495="","",E495*Calculator!$B$6+Calculator!$C$37+F495+Calculator!$B$30)</f>
        <v/>
      </c>
      <c r="H495" s="16">
        <f>IF(A495="","",Calculator!$B$40-G495)</f>
        <v/>
      </c>
      <c r="I495" s="17">
        <f>IF(A495="","",A495*Calculator!$B$5*Calculator!$B$8/3600)</f>
        <v/>
      </c>
      <c r="J495" s="12">
        <f>IF(A495="","",Calculator!$B$35-E495)</f>
        <v/>
      </c>
    </row>
    <row r="496">
      <c r="A496" s="15">
        <f>IF(494/1000&lt;=Calculator!$B$27+0.0000001,494/1000,"")</f>
        <v/>
      </c>
      <c r="B496" s="15">
        <f>IF(A496="","",A496/Calculator!$B$27)</f>
        <v/>
      </c>
      <c r="C496" s="15">
        <f>IF(A496="","",Calculator!$B$27-A496)</f>
        <v/>
      </c>
      <c r="D496" s="17">
        <f>IF(A496="","",(Calculator!$B$11+C496)*Calculator!$B$5)</f>
        <v/>
      </c>
      <c r="E496" s="12">
        <f>IF(A496="","",IF(Calculator!$B$17=1,ROUNDUP(D496*Calculator!$B$8/3600/Calculator!$B$24-0.000000001,0),D496*Calculator!$B$8/3600/Calculator!$B$24))</f>
        <v/>
      </c>
      <c r="F496" s="16">
        <f>IF(A496="","",IF(Calculator!$B$16=1,Calculator!$B$27,A496)*Calculator!$B$5*Calculator!$B$15)</f>
        <v/>
      </c>
      <c r="G496" s="16">
        <f>IF(A496="","",E496*Calculator!$B$6+Calculator!$C$37+F496+Calculator!$B$30)</f>
        <v/>
      </c>
      <c r="H496" s="16">
        <f>IF(A496="","",Calculator!$B$40-G496)</f>
        <v/>
      </c>
      <c r="I496" s="17">
        <f>IF(A496="","",A496*Calculator!$B$5*Calculator!$B$8/3600)</f>
        <v/>
      </c>
      <c r="J496" s="12">
        <f>IF(A496="","",Calculator!$B$35-E496)</f>
        <v/>
      </c>
    </row>
    <row r="497">
      <c r="A497" s="15">
        <f>IF(495/1000&lt;=Calculator!$B$27+0.0000001,495/1000,"")</f>
        <v/>
      </c>
      <c r="B497" s="15">
        <f>IF(A497="","",A497/Calculator!$B$27)</f>
        <v/>
      </c>
      <c r="C497" s="15">
        <f>IF(A497="","",Calculator!$B$27-A497)</f>
        <v/>
      </c>
      <c r="D497" s="17">
        <f>IF(A497="","",(Calculator!$B$11+C497)*Calculator!$B$5)</f>
        <v/>
      </c>
      <c r="E497" s="12">
        <f>IF(A497="","",IF(Calculator!$B$17=1,ROUNDUP(D497*Calculator!$B$8/3600/Calculator!$B$24-0.000000001,0),D497*Calculator!$B$8/3600/Calculator!$B$24))</f>
        <v/>
      </c>
      <c r="F497" s="16">
        <f>IF(A497="","",IF(Calculator!$B$16=1,Calculator!$B$27,A497)*Calculator!$B$5*Calculator!$B$15)</f>
        <v/>
      </c>
      <c r="G497" s="16">
        <f>IF(A497="","",E497*Calculator!$B$6+Calculator!$C$37+F497+Calculator!$B$30)</f>
        <v/>
      </c>
      <c r="H497" s="16">
        <f>IF(A497="","",Calculator!$B$40-G497)</f>
        <v/>
      </c>
      <c r="I497" s="17">
        <f>IF(A497="","",A497*Calculator!$B$5*Calculator!$B$8/3600)</f>
        <v/>
      </c>
      <c r="J497" s="12">
        <f>IF(A497="","",Calculator!$B$35-E497)</f>
        <v/>
      </c>
    </row>
    <row r="498">
      <c r="A498" s="15">
        <f>IF(496/1000&lt;=Calculator!$B$27+0.0000001,496/1000,"")</f>
        <v/>
      </c>
      <c r="B498" s="15">
        <f>IF(A498="","",A498/Calculator!$B$27)</f>
        <v/>
      </c>
      <c r="C498" s="15">
        <f>IF(A498="","",Calculator!$B$27-A498)</f>
        <v/>
      </c>
      <c r="D498" s="17">
        <f>IF(A498="","",(Calculator!$B$11+C498)*Calculator!$B$5)</f>
        <v/>
      </c>
      <c r="E498" s="12">
        <f>IF(A498="","",IF(Calculator!$B$17=1,ROUNDUP(D498*Calculator!$B$8/3600/Calculator!$B$24-0.000000001,0),D498*Calculator!$B$8/3600/Calculator!$B$24))</f>
        <v/>
      </c>
      <c r="F498" s="16">
        <f>IF(A498="","",IF(Calculator!$B$16=1,Calculator!$B$27,A498)*Calculator!$B$5*Calculator!$B$15)</f>
        <v/>
      </c>
      <c r="G498" s="16">
        <f>IF(A498="","",E498*Calculator!$B$6+Calculator!$C$37+F498+Calculator!$B$30)</f>
        <v/>
      </c>
      <c r="H498" s="16">
        <f>IF(A498="","",Calculator!$B$40-G498)</f>
        <v/>
      </c>
      <c r="I498" s="17">
        <f>IF(A498="","",A498*Calculator!$B$5*Calculator!$B$8/3600)</f>
        <v/>
      </c>
      <c r="J498" s="12">
        <f>IF(A498="","",Calculator!$B$35-E498)</f>
        <v/>
      </c>
    </row>
    <row r="499">
      <c r="A499" s="15">
        <f>IF(497/1000&lt;=Calculator!$B$27+0.0000001,497/1000,"")</f>
        <v/>
      </c>
      <c r="B499" s="15">
        <f>IF(A499="","",A499/Calculator!$B$27)</f>
        <v/>
      </c>
      <c r="C499" s="15">
        <f>IF(A499="","",Calculator!$B$27-A499)</f>
        <v/>
      </c>
      <c r="D499" s="17">
        <f>IF(A499="","",(Calculator!$B$11+C499)*Calculator!$B$5)</f>
        <v/>
      </c>
      <c r="E499" s="12">
        <f>IF(A499="","",IF(Calculator!$B$17=1,ROUNDUP(D499*Calculator!$B$8/3600/Calculator!$B$24-0.000000001,0),D499*Calculator!$B$8/3600/Calculator!$B$24))</f>
        <v/>
      </c>
      <c r="F499" s="16">
        <f>IF(A499="","",IF(Calculator!$B$16=1,Calculator!$B$27,A499)*Calculator!$B$5*Calculator!$B$15)</f>
        <v/>
      </c>
      <c r="G499" s="16">
        <f>IF(A499="","",E499*Calculator!$B$6+Calculator!$C$37+F499+Calculator!$B$30)</f>
        <v/>
      </c>
      <c r="H499" s="16">
        <f>IF(A499="","",Calculator!$B$40-G499)</f>
        <v/>
      </c>
      <c r="I499" s="17">
        <f>IF(A499="","",A499*Calculator!$B$5*Calculator!$B$8/3600)</f>
        <v/>
      </c>
      <c r="J499" s="12">
        <f>IF(A499="","",Calculator!$B$35-E499)</f>
        <v/>
      </c>
    </row>
    <row r="500">
      <c r="A500" s="15">
        <f>IF(498/1000&lt;=Calculator!$B$27+0.0000001,498/1000,"")</f>
        <v/>
      </c>
      <c r="B500" s="15">
        <f>IF(A500="","",A500/Calculator!$B$27)</f>
        <v/>
      </c>
      <c r="C500" s="15">
        <f>IF(A500="","",Calculator!$B$27-A500)</f>
        <v/>
      </c>
      <c r="D500" s="17">
        <f>IF(A500="","",(Calculator!$B$11+C500)*Calculator!$B$5)</f>
        <v/>
      </c>
      <c r="E500" s="12">
        <f>IF(A500="","",IF(Calculator!$B$17=1,ROUNDUP(D500*Calculator!$B$8/3600/Calculator!$B$24-0.000000001,0),D500*Calculator!$B$8/3600/Calculator!$B$24))</f>
        <v/>
      </c>
      <c r="F500" s="16">
        <f>IF(A500="","",IF(Calculator!$B$16=1,Calculator!$B$27,A500)*Calculator!$B$5*Calculator!$B$15)</f>
        <v/>
      </c>
      <c r="G500" s="16">
        <f>IF(A500="","",E500*Calculator!$B$6+Calculator!$C$37+F500+Calculator!$B$30)</f>
        <v/>
      </c>
      <c r="H500" s="16">
        <f>IF(A500="","",Calculator!$B$40-G500)</f>
        <v/>
      </c>
      <c r="I500" s="17">
        <f>IF(A500="","",A500*Calculator!$B$5*Calculator!$B$8/3600)</f>
        <v/>
      </c>
      <c r="J500" s="12">
        <f>IF(A500="","",Calculator!$B$35-E500)</f>
        <v/>
      </c>
    </row>
    <row r="501">
      <c r="A501" s="15">
        <f>IF(499/1000&lt;=Calculator!$B$27+0.0000001,499/1000,"")</f>
        <v/>
      </c>
      <c r="B501" s="15">
        <f>IF(A501="","",A501/Calculator!$B$27)</f>
        <v/>
      </c>
      <c r="C501" s="15">
        <f>IF(A501="","",Calculator!$B$27-A501)</f>
        <v/>
      </c>
      <c r="D501" s="17">
        <f>IF(A501="","",(Calculator!$B$11+C501)*Calculator!$B$5)</f>
        <v/>
      </c>
      <c r="E501" s="12">
        <f>IF(A501="","",IF(Calculator!$B$17=1,ROUNDUP(D501*Calculator!$B$8/3600/Calculator!$B$24-0.000000001,0),D501*Calculator!$B$8/3600/Calculator!$B$24))</f>
        <v/>
      </c>
      <c r="F501" s="16">
        <f>IF(A501="","",IF(Calculator!$B$16=1,Calculator!$B$27,A501)*Calculator!$B$5*Calculator!$B$15)</f>
        <v/>
      </c>
      <c r="G501" s="16">
        <f>IF(A501="","",E501*Calculator!$B$6+Calculator!$C$37+F501+Calculator!$B$30)</f>
        <v/>
      </c>
      <c r="H501" s="16">
        <f>IF(A501="","",Calculator!$B$40-G501)</f>
        <v/>
      </c>
      <c r="I501" s="17">
        <f>IF(A501="","",A501*Calculator!$B$5*Calculator!$B$8/3600)</f>
        <v/>
      </c>
      <c r="J501" s="12">
        <f>IF(A501="","",Calculator!$B$35-E501)</f>
        <v/>
      </c>
    </row>
    <row r="502">
      <c r="A502" s="15">
        <f>IF(500/1000&lt;=Calculator!$B$27+0.0000001,500/1000,"")</f>
        <v/>
      </c>
      <c r="B502" s="15">
        <f>IF(A502="","",A502/Calculator!$B$27)</f>
        <v/>
      </c>
      <c r="C502" s="15">
        <f>IF(A502="","",Calculator!$B$27-A502)</f>
        <v/>
      </c>
      <c r="D502" s="17">
        <f>IF(A502="","",(Calculator!$B$11+C502)*Calculator!$B$5)</f>
        <v/>
      </c>
      <c r="E502" s="12">
        <f>IF(A502="","",IF(Calculator!$B$17=1,ROUNDUP(D502*Calculator!$B$8/3600/Calculator!$B$24-0.000000001,0),D502*Calculator!$B$8/3600/Calculator!$B$24))</f>
        <v/>
      </c>
      <c r="F502" s="16">
        <f>IF(A502="","",IF(Calculator!$B$16=1,Calculator!$B$27,A502)*Calculator!$B$5*Calculator!$B$15)</f>
        <v/>
      </c>
      <c r="G502" s="16">
        <f>IF(A502="","",E502*Calculator!$B$6+Calculator!$C$37+F502+Calculator!$B$30)</f>
        <v/>
      </c>
      <c r="H502" s="16">
        <f>IF(A502="","",Calculator!$B$40-G502)</f>
        <v/>
      </c>
      <c r="I502" s="17">
        <f>IF(A502="","",A502*Calculator!$B$5*Calculator!$B$8/3600)</f>
        <v/>
      </c>
      <c r="J502" s="12">
        <f>IF(A502="","",Calculator!$B$35-E502)</f>
        <v/>
      </c>
    </row>
    <row r="503">
      <c r="A503" s="15">
        <f>IF(501/1000&lt;=Calculator!$B$27+0.0000001,501/1000,"")</f>
        <v/>
      </c>
      <c r="B503" s="15">
        <f>IF(A503="","",A503/Calculator!$B$27)</f>
        <v/>
      </c>
      <c r="C503" s="15">
        <f>IF(A503="","",Calculator!$B$27-A503)</f>
        <v/>
      </c>
      <c r="D503" s="17">
        <f>IF(A503="","",(Calculator!$B$11+C503)*Calculator!$B$5)</f>
        <v/>
      </c>
      <c r="E503" s="12">
        <f>IF(A503="","",IF(Calculator!$B$17=1,ROUNDUP(D503*Calculator!$B$8/3600/Calculator!$B$24-0.000000001,0),D503*Calculator!$B$8/3600/Calculator!$B$24))</f>
        <v/>
      </c>
      <c r="F503" s="16">
        <f>IF(A503="","",IF(Calculator!$B$16=1,Calculator!$B$27,A503)*Calculator!$B$5*Calculator!$B$15)</f>
        <v/>
      </c>
      <c r="G503" s="16">
        <f>IF(A503="","",E503*Calculator!$B$6+Calculator!$C$37+F503+Calculator!$B$30)</f>
        <v/>
      </c>
      <c r="H503" s="16">
        <f>IF(A503="","",Calculator!$B$40-G503)</f>
        <v/>
      </c>
      <c r="I503" s="17">
        <f>IF(A503="","",A503*Calculator!$B$5*Calculator!$B$8/3600)</f>
        <v/>
      </c>
      <c r="J503" s="12">
        <f>IF(A503="","",Calculator!$B$35-E503)</f>
        <v/>
      </c>
    </row>
    <row r="504">
      <c r="A504" s="15">
        <f>IF(502/1000&lt;=Calculator!$B$27+0.0000001,502/1000,"")</f>
        <v/>
      </c>
      <c r="B504" s="15">
        <f>IF(A504="","",A504/Calculator!$B$27)</f>
        <v/>
      </c>
      <c r="C504" s="15">
        <f>IF(A504="","",Calculator!$B$27-A504)</f>
        <v/>
      </c>
      <c r="D504" s="17">
        <f>IF(A504="","",(Calculator!$B$11+C504)*Calculator!$B$5)</f>
        <v/>
      </c>
      <c r="E504" s="12">
        <f>IF(A504="","",IF(Calculator!$B$17=1,ROUNDUP(D504*Calculator!$B$8/3600/Calculator!$B$24-0.000000001,0),D504*Calculator!$B$8/3600/Calculator!$B$24))</f>
        <v/>
      </c>
      <c r="F504" s="16">
        <f>IF(A504="","",IF(Calculator!$B$16=1,Calculator!$B$27,A504)*Calculator!$B$5*Calculator!$B$15)</f>
        <v/>
      </c>
      <c r="G504" s="16">
        <f>IF(A504="","",E504*Calculator!$B$6+Calculator!$C$37+F504+Calculator!$B$30)</f>
        <v/>
      </c>
      <c r="H504" s="16">
        <f>IF(A504="","",Calculator!$B$40-G504)</f>
        <v/>
      </c>
      <c r="I504" s="17">
        <f>IF(A504="","",A504*Calculator!$B$5*Calculator!$B$8/3600)</f>
        <v/>
      </c>
      <c r="J504" s="12">
        <f>IF(A504="","",Calculator!$B$35-E504)</f>
        <v/>
      </c>
    </row>
    <row r="505">
      <c r="A505" s="15">
        <f>IF(503/1000&lt;=Calculator!$B$27+0.0000001,503/1000,"")</f>
        <v/>
      </c>
      <c r="B505" s="15">
        <f>IF(A505="","",A505/Calculator!$B$27)</f>
        <v/>
      </c>
      <c r="C505" s="15">
        <f>IF(A505="","",Calculator!$B$27-A505)</f>
        <v/>
      </c>
      <c r="D505" s="17">
        <f>IF(A505="","",(Calculator!$B$11+C505)*Calculator!$B$5)</f>
        <v/>
      </c>
      <c r="E505" s="12">
        <f>IF(A505="","",IF(Calculator!$B$17=1,ROUNDUP(D505*Calculator!$B$8/3600/Calculator!$B$24-0.000000001,0),D505*Calculator!$B$8/3600/Calculator!$B$24))</f>
        <v/>
      </c>
      <c r="F505" s="16">
        <f>IF(A505="","",IF(Calculator!$B$16=1,Calculator!$B$27,A505)*Calculator!$B$5*Calculator!$B$15)</f>
        <v/>
      </c>
      <c r="G505" s="16">
        <f>IF(A505="","",E505*Calculator!$B$6+Calculator!$C$37+F505+Calculator!$B$30)</f>
        <v/>
      </c>
      <c r="H505" s="16">
        <f>IF(A505="","",Calculator!$B$40-G505)</f>
        <v/>
      </c>
      <c r="I505" s="17">
        <f>IF(A505="","",A505*Calculator!$B$5*Calculator!$B$8/3600)</f>
        <v/>
      </c>
      <c r="J505" s="12">
        <f>IF(A505="","",Calculator!$B$35-E505)</f>
        <v/>
      </c>
    </row>
    <row r="506">
      <c r="A506" s="15">
        <f>IF(504/1000&lt;=Calculator!$B$27+0.0000001,504/1000,"")</f>
        <v/>
      </c>
      <c r="B506" s="15">
        <f>IF(A506="","",A506/Calculator!$B$27)</f>
        <v/>
      </c>
      <c r="C506" s="15">
        <f>IF(A506="","",Calculator!$B$27-A506)</f>
        <v/>
      </c>
      <c r="D506" s="17">
        <f>IF(A506="","",(Calculator!$B$11+C506)*Calculator!$B$5)</f>
        <v/>
      </c>
      <c r="E506" s="12">
        <f>IF(A506="","",IF(Calculator!$B$17=1,ROUNDUP(D506*Calculator!$B$8/3600/Calculator!$B$24-0.000000001,0),D506*Calculator!$B$8/3600/Calculator!$B$24))</f>
        <v/>
      </c>
      <c r="F506" s="16">
        <f>IF(A506="","",IF(Calculator!$B$16=1,Calculator!$B$27,A506)*Calculator!$B$5*Calculator!$B$15)</f>
        <v/>
      </c>
      <c r="G506" s="16">
        <f>IF(A506="","",E506*Calculator!$B$6+Calculator!$C$37+F506+Calculator!$B$30)</f>
        <v/>
      </c>
      <c r="H506" s="16">
        <f>IF(A506="","",Calculator!$B$40-G506)</f>
        <v/>
      </c>
      <c r="I506" s="17">
        <f>IF(A506="","",A506*Calculator!$B$5*Calculator!$B$8/3600)</f>
        <v/>
      </c>
      <c r="J506" s="12">
        <f>IF(A506="","",Calculator!$B$35-E506)</f>
        <v/>
      </c>
    </row>
    <row r="507">
      <c r="A507" s="15">
        <f>IF(505/1000&lt;=Calculator!$B$27+0.0000001,505/1000,"")</f>
        <v/>
      </c>
      <c r="B507" s="15">
        <f>IF(A507="","",A507/Calculator!$B$27)</f>
        <v/>
      </c>
      <c r="C507" s="15">
        <f>IF(A507="","",Calculator!$B$27-A507)</f>
        <v/>
      </c>
      <c r="D507" s="17">
        <f>IF(A507="","",(Calculator!$B$11+C507)*Calculator!$B$5)</f>
        <v/>
      </c>
      <c r="E507" s="12">
        <f>IF(A507="","",IF(Calculator!$B$17=1,ROUNDUP(D507*Calculator!$B$8/3600/Calculator!$B$24-0.000000001,0),D507*Calculator!$B$8/3600/Calculator!$B$24))</f>
        <v/>
      </c>
      <c r="F507" s="16">
        <f>IF(A507="","",IF(Calculator!$B$16=1,Calculator!$B$27,A507)*Calculator!$B$5*Calculator!$B$15)</f>
        <v/>
      </c>
      <c r="G507" s="16">
        <f>IF(A507="","",E507*Calculator!$B$6+Calculator!$C$37+F507+Calculator!$B$30)</f>
        <v/>
      </c>
      <c r="H507" s="16">
        <f>IF(A507="","",Calculator!$B$40-G507)</f>
        <v/>
      </c>
      <c r="I507" s="17">
        <f>IF(A507="","",A507*Calculator!$B$5*Calculator!$B$8/3600)</f>
        <v/>
      </c>
      <c r="J507" s="12">
        <f>IF(A507="","",Calculator!$B$35-E507)</f>
        <v/>
      </c>
    </row>
    <row r="508">
      <c r="A508" s="15">
        <f>IF(506/1000&lt;=Calculator!$B$27+0.0000001,506/1000,"")</f>
        <v/>
      </c>
      <c r="B508" s="15">
        <f>IF(A508="","",A508/Calculator!$B$27)</f>
        <v/>
      </c>
      <c r="C508" s="15">
        <f>IF(A508="","",Calculator!$B$27-A508)</f>
        <v/>
      </c>
      <c r="D508" s="17">
        <f>IF(A508="","",(Calculator!$B$11+C508)*Calculator!$B$5)</f>
        <v/>
      </c>
      <c r="E508" s="12">
        <f>IF(A508="","",IF(Calculator!$B$17=1,ROUNDUP(D508*Calculator!$B$8/3600/Calculator!$B$24-0.000000001,0),D508*Calculator!$B$8/3600/Calculator!$B$24))</f>
        <v/>
      </c>
      <c r="F508" s="16">
        <f>IF(A508="","",IF(Calculator!$B$16=1,Calculator!$B$27,A508)*Calculator!$B$5*Calculator!$B$15)</f>
        <v/>
      </c>
      <c r="G508" s="16">
        <f>IF(A508="","",E508*Calculator!$B$6+Calculator!$C$37+F508+Calculator!$B$30)</f>
        <v/>
      </c>
      <c r="H508" s="16">
        <f>IF(A508="","",Calculator!$B$40-G508)</f>
        <v/>
      </c>
      <c r="I508" s="17">
        <f>IF(A508="","",A508*Calculator!$B$5*Calculator!$B$8/3600)</f>
        <v/>
      </c>
      <c r="J508" s="12">
        <f>IF(A508="","",Calculator!$B$35-E508)</f>
        <v/>
      </c>
    </row>
    <row r="509">
      <c r="A509" s="15">
        <f>IF(507/1000&lt;=Calculator!$B$27+0.0000001,507/1000,"")</f>
        <v/>
      </c>
      <c r="B509" s="15">
        <f>IF(A509="","",A509/Calculator!$B$27)</f>
        <v/>
      </c>
      <c r="C509" s="15">
        <f>IF(A509="","",Calculator!$B$27-A509)</f>
        <v/>
      </c>
      <c r="D509" s="17">
        <f>IF(A509="","",(Calculator!$B$11+C509)*Calculator!$B$5)</f>
        <v/>
      </c>
      <c r="E509" s="12">
        <f>IF(A509="","",IF(Calculator!$B$17=1,ROUNDUP(D509*Calculator!$B$8/3600/Calculator!$B$24-0.000000001,0),D509*Calculator!$B$8/3600/Calculator!$B$24))</f>
        <v/>
      </c>
      <c r="F509" s="16">
        <f>IF(A509="","",IF(Calculator!$B$16=1,Calculator!$B$27,A509)*Calculator!$B$5*Calculator!$B$15)</f>
        <v/>
      </c>
      <c r="G509" s="16">
        <f>IF(A509="","",E509*Calculator!$B$6+Calculator!$C$37+F509+Calculator!$B$30)</f>
        <v/>
      </c>
      <c r="H509" s="16">
        <f>IF(A509="","",Calculator!$B$40-G509)</f>
        <v/>
      </c>
      <c r="I509" s="17">
        <f>IF(A509="","",A509*Calculator!$B$5*Calculator!$B$8/3600)</f>
        <v/>
      </c>
      <c r="J509" s="12">
        <f>IF(A509="","",Calculator!$B$35-E509)</f>
        <v/>
      </c>
    </row>
    <row r="510">
      <c r="A510" s="15">
        <f>IF(508/1000&lt;=Calculator!$B$27+0.0000001,508/1000,"")</f>
        <v/>
      </c>
      <c r="B510" s="15">
        <f>IF(A510="","",A510/Calculator!$B$27)</f>
        <v/>
      </c>
      <c r="C510" s="15">
        <f>IF(A510="","",Calculator!$B$27-A510)</f>
        <v/>
      </c>
      <c r="D510" s="17">
        <f>IF(A510="","",(Calculator!$B$11+C510)*Calculator!$B$5)</f>
        <v/>
      </c>
      <c r="E510" s="12">
        <f>IF(A510="","",IF(Calculator!$B$17=1,ROUNDUP(D510*Calculator!$B$8/3600/Calculator!$B$24-0.000000001,0),D510*Calculator!$B$8/3600/Calculator!$B$24))</f>
        <v/>
      </c>
      <c r="F510" s="16">
        <f>IF(A510="","",IF(Calculator!$B$16=1,Calculator!$B$27,A510)*Calculator!$B$5*Calculator!$B$15)</f>
        <v/>
      </c>
      <c r="G510" s="16">
        <f>IF(A510="","",E510*Calculator!$B$6+Calculator!$C$37+F510+Calculator!$B$30)</f>
        <v/>
      </c>
      <c r="H510" s="16">
        <f>IF(A510="","",Calculator!$B$40-G510)</f>
        <v/>
      </c>
      <c r="I510" s="17">
        <f>IF(A510="","",A510*Calculator!$B$5*Calculator!$B$8/3600)</f>
        <v/>
      </c>
      <c r="J510" s="12">
        <f>IF(A510="","",Calculator!$B$35-E510)</f>
        <v/>
      </c>
    </row>
    <row r="511">
      <c r="A511" s="15">
        <f>IF(509/1000&lt;=Calculator!$B$27+0.0000001,509/1000,"")</f>
        <v/>
      </c>
      <c r="B511" s="15">
        <f>IF(A511="","",A511/Calculator!$B$27)</f>
        <v/>
      </c>
      <c r="C511" s="15">
        <f>IF(A511="","",Calculator!$B$27-A511)</f>
        <v/>
      </c>
      <c r="D511" s="17">
        <f>IF(A511="","",(Calculator!$B$11+C511)*Calculator!$B$5)</f>
        <v/>
      </c>
      <c r="E511" s="12">
        <f>IF(A511="","",IF(Calculator!$B$17=1,ROUNDUP(D511*Calculator!$B$8/3600/Calculator!$B$24-0.000000001,0),D511*Calculator!$B$8/3600/Calculator!$B$24))</f>
        <v/>
      </c>
      <c r="F511" s="16">
        <f>IF(A511="","",IF(Calculator!$B$16=1,Calculator!$B$27,A511)*Calculator!$B$5*Calculator!$B$15)</f>
        <v/>
      </c>
      <c r="G511" s="16">
        <f>IF(A511="","",E511*Calculator!$B$6+Calculator!$C$37+F511+Calculator!$B$30)</f>
        <v/>
      </c>
      <c r="H511" s="16">
        <f>IF(A511="","",Calculator!$B$40-G511)</f>
        <v/>
      </c>
      <c r="I511" s="17">
        <f>IF(A511="","",A511*Calculator!$B$5*Calculator!$B$8/3600)</f>
        <v/>
      </c>
      <c r="J511" s="12">
        <f>IF(A511="","",Calculator!$B$35-E511)</f>
        <v/>
      </c>
    </row>
    <row r="512">
      <c r="A512" s="15">
        <f>IF(510/1000&lt;=Calculator!$B$27+0.0000001,510/1000,"")</f>
        <v/>
      </c>
      <c r="B512" s="15">
        <f>IF(A512="","",A512/Calculator!$B$27)</f>
        <v/>
      </c>
      <c r="C512" s="15">
        <f>IF(A512="","",Calculator!$B$27-A512)</f>
        <v/>
      </c>
      <c r="D512" s="17">
        <f>IF(A512="","",(Calculator!$B$11+C512)*Calculator!$B$5)</f>
        <v/>
      </c>
      <c r="E512" s="12">
        <f>IF(A512="","",IF(Calculator!$B$17=1,ROUNDUP(D512*Calculator!$B$8/3600/Calculator!$B$24-0.000000001,0),D512*Calculator!$B$8/3600/Calculator!$B$24))</f>
        <v/>
      </c>
      <c r="F512" s="16">
        <f>IF(A512="","",IF(Calculator!$B$16=1,Calculator!$B$27,A512)*Calculator!$B$5*Calculator!$B$15)</f>
        <v/>
      </c>
      <c r="G512" s="16">
        <f>IF(A512="","",E512*Calculator!$B$6+Calculator!$C$37+F512+Calculator!$B$30)</f>
        <v/>
      </c>
      <c r="H512" s="16">
        <f>IF(A512="","",Calculator!$B$40-G512)</f>
        <v/>
      </c>
      <c r="I512" s="17">
        <f>IF(A512="","",A512*Calculator!$B$5*Calculator!$B$8/3600)</f>
        <v/>
      </c>
      <c r="J512" s="12">
        <f>IF(A512="","",Calculator!$B$35-E512)</f>
        <v/>
      </c>
    </row>
    <row r="513">
      <c r="A513" s="15">
        <f>IF(511/1000&lt;=Calculator!$B$27+0.0000001,511/1000,"")</f>
        <v/>
      </c>
      <c r="B513" s="15">
        <f>IF(A513="","",A513/Calculator!$B$27)</f>
        <v/>
      </c>
      <c r="C513" s="15">
        <f>IF(A513="","",Calculator!$B$27-A513)</f>
        <v/>
      </c>
      <c r="D513" s="17">
        <f>IF(A513="","",(Calculator!$B$11+C513)*Calculator!$B$5)</f>
        <v/>
      </c>
      <c r="E513" s="12">
        <f>IF(A513="","",IF(Calculator!$B$17=1,ROUNDUP(D513*Calculator!$B$8/3600/Calculator!$B$24-0.000000001,0),D513*Calculator!$B$8/3600/Calculator!$B$24))</f>
        <v/>
      </c>
      <c r="F513" s="16">
        <f>IF(A513="","",IF(Calculator!$B$16=1,Calculator!$B$27,A513)*Calculator!$B$5*Calculator!$B$15)</f>
        <v/>
      </c>
      <c r="G513" s="16">
        <f>IF(A513="","",E513*Calculator!$B$6+Calculator!$C$37+F513+Calculator!$B$30)</f>
        <v/>
      </c>
      <c r="H513" s="16">
        <f>IF(A513="","",Calculator!$B$40-G513)</f>
        <v/>
      </c>
      <c r="I513" s="17">
        <f>IF(A513="","",A513*Calculator!$B$5*Calculator!$B$8/3600)</f>
        <v/>
      </c>
      <c r="J513" s="12">
        <f>IF(A513="","",Calculator!$B$35-E513)</f>
        <v/>
      </c>
    </row>
    <row r="514">
      <c r="A514" s="15">
        <f>IF(512/1000&lt;=Calculator!$B$27+0.0000001,512/1000,"")</f>
        <v/>
      </c>
      <c r="B514" s="15">
        <f>IF(A514="","",A514/Calculator!$B$27)</f>
        <v/>
      </c>
      <c r="C514" s="15">
        <f>IF(A514="","",Calculator!$B$27-A514)</f>
        <v/>
      </c>
      <c r="D514" s="17">
        <f>IF(A514="","",(Calculator!$B$11+C514)*Calculator!$B$5)</f>
        <v/>
      </c>
      <c r="E514" s="12">
        <f>IF(A514="","",IF(Calculator!$B$17=1,ROUNDUP(D514*Calculator!$B$8/3600/Calculator!$B$24-0.000000001,0),D514*Calculator!$B$8/3600/Calculator!$B$24))</f>
        <v/>
      </c>
      <c r="F514" s="16">
        <f>IF(A514="","",IF(Calculator!$B$16=1,Calculator!$B$27,A514)*Calculator!$B$5*Calculator!$B$15)</f>
        <v/>
      </c>
      <c r="G514" s="16">
        <f>IF(A514="","",E514*Calculator!$B$6+Calculator!$C$37+F514+Calculator!$B$30)</f>
        <v/>
      </c>
      <c r="H514" s="16">
        <f>IF(A514="","",Calculator!$B$40-G514)</f>
        <v/>
      </c>
      <c r="I514" s="17">
        <f>IF(A514="","",A514*Calculator!$B$5*Calculator!$B$8/3600)</f>
        <v/>
      </c>
      <c r="J514" s="12">
        <f>IF(A514="","",Calculator!$B$35-E514)</f>
        <v/>
      </c>
    </row>
    <row r="515">
      <c r="A515" s="15">
        <f>IF(513/1000&lt;=Calculator!$B$27+0.0000001,513/1000,"")</f>
        <v/>
      </c>
      <c r="B515" s="15">
        <f>IF(A515="","",A515/Calculator!$B$27)</f>
        <v/>
      </c>
      <c r="C515" s="15">
        <f>IF(A515="","",Calculator!$B$27-A515)</f>
        <v/>
      </c>
      <c r="D515" s="17">
        <f>IF(A515="","",(Calculator!$B$11+C515)*Calculator!$B$5)</f>
        <v/>
      </c>
      <c r="E515" s="12">
        <f>IF(A515="","",IF(Calculator!$B$17=1,ROUNDUP(D515*Calculator!$B$8/3600/Calculator!$B$24-0.000000001,0),D515*Calculator!$B$8/3600/Calculator!$B$24))</f>
        <v/>
      </c>
      <c r="F515" s="16">
        <f>IF(A515="","",IF(Calculator!$B$16=1,Calculator!$B$27,A515)*Calculator!$B$5*Calculator!$B$15)</f>
        <v/>
      </c>
      <c r="G515" s="16">
        <f>IF(A515="","",E515*Calculator!$B$6+Calculator!$C$37+F515+Calculator!$B$30)</f>
        <v/>
      </c>
      <c r="H515" s="16">
        <f>IF(A515="","",Calculator!$B$40-G515)</f>
        <v/>
      </c>
      <c r="I515" s="17">
        <f>IF(A515="","",A515*Calculator!$B$5*Calculator!$B$8/3600)</f>
        <v/>
      </c>
      <c r="J515" s="12">
        <f>IF(A515="","",Calculator!$B$35-E515)</f>
        <v/>
      </c>
    </row>
    <row r="516">
      <c r="A516" s="15">
        <f>IF(514/1000&lt;=Calculator!$B$27+0.0000001,514/1000,"")</f>
        <v/>
      </c>
      <c r="B516" s="15">
        <f>IF(A516="","",A516/Calculator!$B$27)</f>
        <v/>
      </c>
      <c r="C516" s="15">
        <f>IF(A516="","",Calculator!$B$27-A516)</f>
        <v/>
      </c>
      <c r="D516" s="17">
        <f>IF(A516="","",(Calculator!$B$11+C516)*Calculator!$B$5)</f>
        <v/>
      </c>
      <c r="E516" s="12">
        <f>IF(A516="","",IF(Calculator!$B$17=1,ROUNDUP(D516*Calculator!$B$8/3600/Calculator!$B$24-0.000000001,0),D516*Calculator!$B$8/3600/Calculator!$B$24))</f>
        <v/>
      </c>
      <c r="F516" s="16">
        <f>IF(A516="","",IF(Calculator!$B$16=1,Calculator!$B$27,A516)*Calculator!$B$5*Calculator!$B$15)</f>
        <v/>
      </c>
      <c r="G516" s="16">
        <f>IF(A516="","",E516*Calculator!$B$6+Calculator!$C$37+F516+Calculator!$B$30)</f>
        <v/>
      </c>
      <c r="H516" s="16">
        <f>IF(A516="","",Calculator!$B$40-G516)</f>
        <v/>
      </c>
      <c r="I516" s="17">
        <f>IF(A516="","",A516*Calculator!$B$5*Calculator!$B$8/3600)</f>
        <v/>
      </c>
      <c r="J516" s="12">
        <f>IF(A516="","",Calculator!$B$35-E516)</f>
        <v/>
      </c>
    </row>
    <row r="517">
      <c r="A517" s="15">
        <f>IF(515/1000&lt;=Calculator!$B$27+0.0000001,515/1000,"")</f>
        <v/>
      </c>
      <c r="B517" s="15">
        <f>IF(A517="","",A517/Calculator!$B$27)</f>
        <v/>
      </c>
      <c r="C517" s="15">
        <f>IF(A517="","",Calculator!$B$27-A517)</f>
        <v/>
      </c>
      <c r="D517" s="17">
        <f>IF(A517="","",(Calculator!$B$11+C517)*Calculator!$B$5)</f>
        <v/>
      </c>
      <c r="E517" s="12">
        <f>IF(A517="","",IF(Calculator!$B$17=1,ROUNDUP(D517*Calculator!$B$8/3600/Calculator!$B$24-0.000000001,0),D517*Calculator!$B$8/3600/Calculator!$B$24))</f>
        <v/>
      </c>
      <c r="F517" s="16">
        <f>IF(A517="","",IF(Calculator!$B$16=1,Calculator!$B$27,A517)*Calculator!$B$5*Calculator!$B$15)</f>
        <v/>
      </c>
      <c r="G517" s="16">
        <f>IF(A517="","",E517*Calculator!$B$6+Calculator!$C$37+F517+Calculator!$B$30)</f>
        <v/>
      </c>
      <c r="H517" s="16">
        <f>IF(A517="","",Calculator!$B$40-G517)</f>
        <v/>
      </c>
      <c r="I517" s="17">
        <f>IF(A517="","",A517*Calculator!$B$5*Calculator!$B$8/3600)</f>
        <v/>
      </c>
      <c r="J517" s="12">
        <f>IF(A517="","",Calculator!$B$35-E517)</f>
        <v/>
      </c>
    </row>
    <row r="518">
      <c r="A518" s="15">
        <f>IF(516/1000&lt;=Calculator!$B$27+0.0000001,516/1000,"")</f>
        <v/>
      </c>
      <c r="B518" s="15">
        <f>IF(A518="","",A518/Calculator!$B$27)</f>
        <v/>
      </c>
      <c r="C518" s="15">
        <f>IF(A518="","",Calculator!$B$27-A518)</f>
        <v/>
      </c>
      <c r="D518" s="17">
        <f>IF(A518="","",(Calculator!$B$11+C518)*Calculator!$B$5)</f>
        <v/>
      </c>
      <c r="E518" s="12">
        <f>IF(A518="","",IF(Calculator!$B$17=1,ROUNDUP(D518*Calculator!$B$8/3600/Calculator!$B$24-0.000000001,0),D518*Calculator!$B$8/3600/Calculator!$B$24))</f>
        <v/>
      </c>
      <c r="F518" s="16">
        <f>IF(A518="","",IF(Calculator!$B$16=1,Calculator!$B$27,A518)*Calculator!$B$5*Calculator!$B$15)</f>
        <v/>
      </c>
      <c r="G518" s="16">
        <f>IF(A518="","",E518*Calculator!$B$6+Calculator!$C$37+F518+Calculator!$B$30)</f>
        <v/>
      </c>
      <c r="H518" s="16">
        <f>IF(A518="","",Calculator!$B$40-G518)</f>
        <v/>
      </c>
      <c r="I518" s="17">
        <f>IF(A518="","",A518*Calculator!$B$5*Calculator!$B$8/3600)</f>
        <v/>
      </c>
      <c r="J518" s="12">
        <f>IF(A518="","",Calculator!$B$35-E518)</f>
        <v/>
      </c>
    </row>
    <row r="519">
      <c r="A519" s="15">
        <f>IF(517/1000&lt;=Calculator!$B$27+0.0000001,517/1000,"")</f>
        <v/>
      </c>
      <c r="B519" s="15">
        <f>IF(A519="","",A519/Calculator!$B$27)</f>
        <v/>
      </c>
      <c r="C519" s="15">
        <f>IF(A519="","",Calculator!$B$27-A519)</f>
        <v/>
      </c>
      <c r="D519" s="17">
        <f>IF(A519="","",(Calculator!$B$11+C519)*Calculator!$B$5)</f>
        <v/>
      </c>
      <c r="E519" s="12">
        <f>IF(A519="","",IF(Calculator!$B$17=1,ROUNDUP(D519*Calculator!$B$8/3600/Calculator!$B$24-0.000000001,0),D519*Calculator!$B$8/3600/Calculator!$B$24))</f>
        <v/>
      </c>
      <c r="F519" s="16">
        <f>IF(A519="","",IF(Calculator!$B$16=1,Calculator!$B$27,A519)*Calculator!$B$5*Calculator!$B$15)</f>
        <v/>
      </c>
      <c r="G519" s="16">
        <f>IF(A519="","",E519*Calculator!$B$6+Calculator!$C$37+F519+Calculator!$B$30)</f>
        <v/>
      </c>
      <c r="H519" s="16">
        <f>IF(A519="","",Calculator!$B$40-G519)</f>
        <v/>
      </c>
      <c r="I519" s="17">
        <f>IF(A519="","",A519*Calculator!$B$5*Calculator!$B$8/3600)</f>
        <v/>
      </c>
      <c r="J519" s="12">
        <f>IF(A519="","",Calculator!$B$35-E519)</f>
        <v/>
      </c>
    </row>
    <row r="520">
      <c r="A520" s="15">
        <f>IF(518/1000&lt;=Calculator!$B$27+0.0000001,518/1000,"")</f>
        <v/>
      </c>
      <c r="B520" s="15">
        <f>IF(A520="","",A520/Calculator!$B$27)</f>
        <v/>
      </c>
      <c r="C520" s="15">
        <f>IF(A520="","",Calculator!$B$27-A520)</f>
        <v/>
      </c>
      <c r="D520" s="17">
        <f>IF(A520="","",(Calculator!$B$11+C520)*Calculator!$B$5)</f>
        <v/>
      </c>
      <c r="E520" s="12">
        <f>IF(A520="","",IF(Calculator!$B$17=1,ROUNDUP(D520*Calculator!$B$8/3600/Calculator!$B$24-0.000000001,0),D520*Calculator!$B$8/3600/Calculator!$B$24))</f>
        <v/>
      </c>
      <c r="F520" s="16">
        <f>IF(A520="","",IF(Calculator!$B$16=1,Calculator!$B$27,A520)*Calculator!$B$5*Calculator!$B$15)</f>
        <v/>
      </c>
      <c r="G520" s="16">
        <f>IF(A520="","",E520*Calculator!$B$6+Calculator!$C$37+F520+Calculator!$B$30)</f>
        <v/>
      </c>
      <c r="H520" s="16">
        <f>IF(A520="","",Calculator!$B$40-G520)</f>
        <v/>
      </c>
      <c r="I520" s="17">
        <f>IF(A520="","",A520*Calculator!$B$5*Calculator!$B$8/3600)</f>
        <v/>
      </c>
      <c r="J520" s="12">
        <f>IF(A520="","",Calculator!$B$35-E520)</f>
        <v/>
      </c>
    </row>
    <row r="521">
      <c r="A521" s="15">
        <f>IF(519/1000&lt;=Calculator!$B$27+0.0000001,519/1000,"")</f>
        <v/>
      </c>
      <c r="B521" s="15">
        <f>IF(A521="","",A521/Calculator!$B$27)</f>
        <v/>
      </c>
      <c r="C521" s="15">
        <f>IF(A521="","",Calculator!$B$27-A521)</f>
        <v/>
      </c>
      <c r="D521" s="17">
        <f>IF(A521="","",(Calculator!$B$11+C521)*Calculator!$B$5)</f>
        <v/>
      </c>
      <c r="E521" s="12">
        <f>IF(A521="","",IF(Calculator!$B$17=1,ROUNDUP(D521*Calculator!$B$8/3600/Calculator!$B$24-0.000000001,0),D521*Calculator!$B$8/3600/Calculator!$B$24))</f>
        <v/>
      </c>
      <c r="F521" s="16">
        <f>IF(A521="","",IF(Calculator!$B$16=1,Calculator!$B$27,A521)*Calculator!$B$5*Calculator!$B$15)</f>
        <v/>
      </c>
      <c r="G521" s="16">
        <f>IF(A521="","",E521*Calculator!$B$6+Calculator!$C$37+F521+Calculator!$B$30)</f>
        <v/>
      </c>
      <c r="H521" s="16">
        <f>IF(A521="","",Calculator!$B$40-G521)</f>
        <v/>
      </c>
      <c r="I521" s="17">
        <f>IF(A521="","",A521*Calculator!$B$5*Calculator!$B$8/3600)</f>
        <v/>
      </c>
      <c r="J521" s="12">
        <f>IF(A521="","",Calculator!$B$35-E521)</f>
        <v/>
      </c>
    </row>
    <row r="522">
      <c r="A522" s="15">
        <f>IF(520/1000&lt;=Calculator!$B$27+0.0000001,520/1000,"")</f>
        <v/>
      </c>
      <c r="B522" s="15">
        <f>IF(A522="","",A522/Calculator!$B$27)</f>
        <v/>
      </c>
      <c r="C522" s="15">
        <f>IF(A522="","",Calculator!$B$27-A522)</f>
        <v/>
      </c>
      <c r="D522" s="17">
        <f>IF(A522="","",(Calculator!$B$11+C522)*Calculator!$B$5)</f>
        <v/>
      </c>
      <c r="E522" s="12">
        <f>IF(A522="","",IF(Calculator!$B$17=1,ROUNDUP(D522*Calculator!$B$8/3600/Calculator!$B$24-0.000000001,0),D522*Calculator!$B$8/3600/Calculator!$B$24))</f>
        <v/>
      </c>
      <c r="F522" s="16">
        <f>IF(A522="","",IF(Calculator!$B$16=1,Calculator!$B$27,A522)*Calculator!$B$5*Calculator!$B$15)</f>
        <v/>
      </c>
      <c r="G522" s="16">
        <f>IF(A522="","",E522*Calculator!$B$6+Calculator!$C$37+F522+Calculator!$B$30)</f>
        <v/>
      </c>
      <c r="H522" s="16">
        <f>IF(A522="","",Calculator!$B$40-G522)</f>
        <v/>
      </c>
      <c r="I522" s="17">
        <f>IF(A522="","",A522*Calculator!$B$5*Calculator!$B$8/3600)</f>
        <v/>
      </c>
      <c r="J522" s="12">
        <f>IF(A522="","",Calculator!$B$35-E522)</f>
        <v/>
      </c>
    </row>
    <row r="523">
      <c r="A523" s="15">
        <f>IF(521/1000&lt;=Calculator!$B$27+0.0000001,521/1000,"")</f>
        <v/>
      </c>
      <c r="B523" s="15">
        <f>IF(A523="","",A523/Calculator!$B$27)</f>
        <v/>
      </c>
      <c r="C523" s="15">
        <f>IF(A523="","",Calculator!$B$27-A523)</f>
        <v/>
      </c>
      <c r="D523" s="17">
        <f>IF(A523="","",(Calculator!$B$11+C523)*Calculator!$B$5)</f>
        <v/>
      </c>
      <c r="E523" s="12">
        <f>IF(A523="","",IF(Calculator!$B$17=1,ROUNDUP(D523*Calculator!$B$8/3600/Calculator!$B$24-0.000000001,0),D523*Calculator!$B$8/3600/Calculator!$B$24))</f>
        <v/>
      </c>
      <c r="F523" s="16">
        <f>IF(A523="","",IF(Calculator!$B$16=1,Calculator!$B$27,A523)*Calculator!$B$5*Calculator!$B$15)</f>
        <v/>
      </c>
      <c r="G523" s="16">
        <f>IF(A523="","",E523*Calculator!$B$6+Calculator!$C$37+F523+Calculator!$B$30)</f>
        <v/>
      </c>
      <c r="H523" s="16">
        <f>IF(A523="","",Calculator!$B$40-G523)</f>
        <v/>
      </c>
      <c r="I523" s="17">
        <f>IF(A523="","",A523*Calculator!$B$5*Calculator!$B$8/3600)</f>
        <v/>
      </c>
      <c r="J523" s="12">
        <f>IF(A523="","",Calculator!$B$35-E523)</f>
        <v/>
      </c>
    </row>
    <row r="524">
      <c r="A524" s="15">
        <f>IF(522/1000&lt;=Calculator!$B$27+0.0000001,522/1000,"")</f>
        <v/>
      </c>
      <c r="B524" s="15">
        <f>IF(A524="","",A524/Calculator!$B$27)</f>
        <v/>
      </c>
      <c r="C524" s="15">
        <f>IF(A524="","",Calculator!$B$27-A524)</f>
        <v/>
      </c>
      <c r="D524" s="17">
        <f>IF(A524="","",(Calculator!$B$11+C524)*Calculator!$B$5)</f>
        <v/>
      </c>
      <c r="E524" s="12">
        <f>IF(A524="","",IF(Calculator!$B$17=1,ROUNDUP(D524*Calculator!$B$8/3600/Calculator!$B$24-0.000000001,0),D524*Calculator!$B$8/3600/Calculator!$B$24))</f>
        <v/>
      </c>
      <c r="F524" s="16">
        <f>IF(A524="","",IF(Calculator!$B$16=1,Calculator!$B$27,A524)*Calculator!$B$5*Calculator!$B$15)</f>
        <v/>
      </c>
      <c r="G524" s="16">
        <f>IF(A524="","",E524*Calculator!$B$6+Calculator!$C$37+F524+Calculator!$B$30)</f>
        <v/>
      </c>
      <c r="H524" s="16">
        <f>IF(A524="","",Calculator!$B$40-G524)</f>
        <v/>
      </c>
      <c r="I524" s="17">
        <f>IF(A524="","",A524*Calculator!$B$5*Calculator!$B$8/3600)</f>
        <v/>
      </c>
      <c r="J524" s="12">
        <f>IF(A524="","",Calculator!$B$35-E524)</f>
        <v/>
      </c>
    </row>
    <row r="525">
      <c r="A525" s="15">
        <f>IF(523/1000&lt;=Calculator!$B$27+0.0000001,523/1000,"")</f>
        <v/>
      </c>
      <c r="B525" s="15">
        <f>IF(A525="","",A525/Calculator!$B$27)</f>
        <v/>
      </c>
      <c r="C525" s="15">
        <f>IF(A525="","",Calculator!$B$27-A525)</f>
        <v/>
      </c>
      <c r="D525" s="17">
        <f>IF(A525="","",(Calculator!$B$11+C525)*Calculator!$B$5)</f>
        <v/>
      </c>
      <c r="E525" s="12">
        <f>IF(A525="","",IF(Calculator!$B$17=1,ROUNDUP(D525*Calculator!$B$8/3600/Calculator!$B$24-0.000000001,0),D525*Calculator!$B$8/3600/Calculator!$B$24))</f>
        <v/>
      </c>
      <c r="F525" s="16">
        <f>IF(A525="","",IF(Calculator!$B$16=1,Calculator!$B$27,A525)*Calculator!$B$5*Calculator!$B$15)</f>
        <v/>
      </c>
      <c r="G525" s="16">
        <f>IF(A525="","",E525*Calculator!$B$6+Calculator!$C$37+F525+Calculator!$B$30)</f>
        <v/>
      </c>
      <c r="H525" s="16">
        <f>IF(A525="","",Calculator!$B$40-G525)</f>
        <v/>
      </c>
      <c r="I525" s="17">
        <f>IF(A525="","",A525*Calculator!$B$5*Calculator!$B$8/3600)</f>
        <v/>
      </c>
      <c r="J525" s="12">
        <f>IF(A525="","",Calculator!$B$35-E525)</f>
        <v/>
      </c>
    </row>
    <row r="526">
      <c r="A526" s="15">
        <f>IF(524/1000&lt;=Calculator!$B$27+0.0000001,524/1000,"")</f>
        <v/>
      </c>
      <c r="B526" s="15">
        <f>IF(A526="","",A526/Calculator!$B$27)</f>
        <v/>
      </c>
      <c r="C526" s="15">
        <f>IF(A526="","",Calculator!$B$27-A526)</f>
        <v/>
      </c>
      <c r="D526" s="17">
        <f>IF(A526="","",(Calculator!$B$11+C526)*Calculator!$B$5)</f>
        <v/>
      </c>
      <c r="E526" s="12">
        <f>IF(A526="","",IF(Calculator!$B$17=1,ROUNDUP(D526*Calculator!$B$8/3600/Calculator!$B$24-0.000000001,0),D526*Calculator!$B$8/3600/Calculator!$B$24))</f>
        <v/>
      </c>
      <c r="F526" s="16">
        <f>IF(A526="","",IF(Calculator!$B$16=1,Calculator!$B$27,A526)*Calculator!$B$5*Calculator!$B$15)</f>
        <v/>
      </c>
      <c r="G526" s="16">
        <f>IF(A526="","",E526*Calculator!$B$6+Calculator!$C$37+F526+Calculator!$B$30)</f>
        <v/>
      </c>
      <c r="H526" s="16">
        <f>IF(A526="","",Calculator!$B$40-G526)</f>
        <v/>
      </c>
      <c r="I526" s="17">
        <f>IF(A526="","",A526*Calculator!$B$5*Calculator!$B$8/3600)</f>
        <v/>
      </c>
      <c r="J526" s="12">
        <f>IF(A526="","",Calculator!$B$35-E526)</f>
        <v/>
      </c>
    </row>
    <row r="527">
      <c r="A527" s="15">
        <f>IF(525/1000&lt;=Calculator!$B$27+0.0000001,525/1000,"")</f>
        <v/>
      </c>
      <c r="B527" s="15">
        <f>IF(A527="","",A527/Calculator!$B$27)</f>
        <v/>
      </c>
      <c r="C527" s="15">
        <f>IF(A527="","",Calculator!$B$27-A527)</f>
        <v/>
      </c>
      <c r="D527" s="17">
        <f>IF(A527="","",(Calculator!$B$11+C527)*Calculator!$B$5)</f>
        <v/>
      </c>
      <c r="E527" s="12">
        <f>IF(A527="","",IF(Calculator!$B$17=1,ROUNDUP(D527*Calculator!$B$8/3600/Calculator!$B$24-0.000000001,0),D527*Calculator!$B$8/3600/Calculator!$B$24))</f>
        <v/>
      </c>
      <c r="F527" s="16">
        <f>IF(A527="","",IF(Calculator!$B$16=1,Calculator!$B$27,A527)*Calculator!$B$5*Calculator!$B$15)</f>
        <v/>
      </c>
      <c r="G527" s="16">
        <f>IF(A527="","",E527*Calculator!$B$6+Calculator!$C$37+F527+Calculator!$B$30)</f>
        <v/>
      </c>
      <c r="H527" s="16">
        <f>IF(A527="","",Calculator!$B$40-G527)</f>
        <v/>
      </c>
      <c r="I527" s="17">
        <f>IF(A527="","",A527*Calculator!$B$5*Calculator!$B$8/3600)</f>
        <v/>
      </c>
      <c r="J527" s="12">
        <f>IF(A527="","",Calculator!$B$35-E527)</f>
        <v/>
      </c>
    </row>
    <row r="528">
      <c r="A528" s="15">
        <f>IF(526/1000&lt;=Calculator!$B$27+0.0000001,526/1000,"")</f>
        <v/>
      </c>
      <c r="B528" s="15">
        <f>IF(A528="","",A528/Calculator!$B$27)</f>
        <v/>
      </c>
      <c r="C528" s="15">
        <f>IF(A528="","",Calculator!$B$27-A528)</f>
        <v/>
      </c>
      <c r="D528" s="17">
        <f>IF(A528="","",(Calculator!$B$11+C528)*Calculator!$B$5)</f>
        <v/>
      </c>
      <c r="E528" s="12">
        <f>IF(A528="","",IF(Calculator!$B$17=1,ROUNDUP(D528*Calculator!$B$8/3600/Calculator!$B$24-0.000000001,0),D528*Calculator!$B$8/3600/Calculator!$B$24))</f>
        <v/>
      </c>
      <c r="F528" s="16">
        <f>IF(A528="","",IF(Calculator!$B$16=1,Calculator!$B$27,A528)*Calculator!$B$5*Calculator!$B$15)</f>
        <v/>
      </c>
      <c r="G528" s="16">
        <f>IF(A528="","",E528*Calculator!$B$6+Calculator!$C$37+F528+Calculator!$B$30)</f>
        <v/>
      </c>
      <c r="H528" s="16">
        <f>IF(A528="","",Calculator!$B$40-G528)</f>
        <v/>
      </c>
      <c r="I528" s="17">
        <f>IF(A528="","",A528*Calculator!$B$5*Calculator!$B$8/3600)</f>
        <v/>
      </c>
      <c r="J528" s="12">
        <f>IF(A528="","",Calculator!$B$35-E528)</f>
        <v/>
      </c>
    </row>
    <row r="529">
      <c r="A529" s="15">
        <f>IF(527/1000&lt;=Calculator!$B$27+0.0000001,527/1000,"")</f>
        <v/>
      </c>
      <c r="B529" s="15">
        <f>IF(A529="","",A529/Calculator!$B$27)</f>
        <v/>
      </c>
      <c r="C529" s="15">
        <f>IF(A529="","",Calculator!$B$27-A529)</f>
        <v/>
      </c>
      <c r="D529" s="17">
        <f>IF(A529="","",(Calculator!$B$11+C529)*Calculator!$B$5)</f>
        <v/>
      </c>
      <c r="E529" s="12">
        <f>IF(A529="","",IF(Calculator!$B$17=1,ROUNDUP(D529*Calculator!$B$8/3600/Calculator!$B$24-0.000000001,0),D529*Calculator!$B$8/3600/Calculator!$B$24))</f>
        <v/>
      </c>
      <c r="F529" s="16">
        <f>IF(A529="","",IF(Calculator!$B$16=1,Calculator!$B$27,A529)*Calculator!$B$5*Calculator!$B$15)</f>
        <v/>
      </c>
      <c r="G529" s="16">
        <f>IF(A529="","",E529*Calculator!$B$6+Calculator!$C$37+F529+Calculator!$B$30)</f>
        <v/>
      </c>
      <c r="H529" s="16">
        <f>IF(A529="","",Calculator!$B$40-G529)</f>
        <v/>
      </c>
      <c r="I529" s="17">
        <f>IF(A529="","",A529*Calculator!$B$5*Calculator!$B$8/3600)</f>
        <v/>
      </c>
      <c r="J529" s="12">
        <f>IF(A529="","",Calculator!$B$35-E529)</f>
        <v/>
      </c>
    </row>
    <row r="530">
      <c r="A530" s="15">
        <f>IF(528/1000&lt;=Calculator!$B$27+0.0000001,528/1000,"")</f>
        <v/>
      </c>
      <c r="B530" s="15">
        <f>IF(A530="","",A530/Calculator!$B$27)</f>
        <v/>
      </c>
      <c r="C530" s="15">
        <f>IF(A530="","",Calculator!$B$27-A530)</f>
        <v/>
      </c>
      <c r="D530" s="17">
        <f>IF(A530="","",(Calculator!$B$11+C530)*Calculator!$B$5)</f>
        <v/>
      </c>
      <c r="E530" s="12">
        <f>IF(A530="","",IF(Calculator!$B$17=1,ROUNDUP(D530*Calculator!$B$8/3600/Calculator!$B$24-0.000000001,0),D530*Calculator!$B$8/3600/Calculator!$B$24))</f>
        <v/>
      </c>
      <c r="F530" s="16">
        <f>IF(A530="","",IF(Calculator!$B$16=1,Calculator!$B$27,A530)*Calculator!$B$5*Calculator!$B$15)</f>
        <v/>
      </c>
      <c r="G530" s="16">
        <f>IF(A530="","",E530*Calculator!$B$6+Calculator!$C$37+F530+Calculator!$B$30)</f>
        <v/>
      </c>
      <c r="H530" s="16">
        <f>IF(A530="","",Calculator!$B$40-G530)</f>
        <v/>
      </c>
      <c r="I530" s="17">
        <f>IF(A530="","",A530*Calculator!$B$5*Calculator!$B$8/3600)</f>
        <v/>
      </c>
      <c r="J530" s="12">
        <f>IF(A530="","",Calculator!$B$35-E530)</f>
        <v/>
      </c>
    </row>
    <row r="531">
      <c r="A531" s="15">
        <f>IF(529/1000&lt;=Calculator!$B$27+0.0000001,529/1000,"")</f>
        <v/>
      </c>
      <c r="B531" s="15">
        <f>IF(A531="","",A531/Calculator!$B$27)</f>
        <v/>
      </c>
      <c r="C531" s="15">
        <f>IF(A531="","",Calculator!$B$27-A531)</f>
        <v/>
      </c>
      <c r="D531" s="17">
        <f>IF(A531="","",(Calculator!$B$11+C531)*Calculator!$B$5)</f>
        <v/>
      </c>
      <c r="E531" s="12">
        <f>IF(A531="","",IF(Calculator!$B$17=1,ROUNDUP(D531*Calculator!$B$8/3600/Calculator!$B$24-0.000000001,0),D531*Calculator!$B$8/3600/Calculator!$B$24))</f>
        <v/>
      </c>
      <c r="F531" s="16">
        <f>IF(A531="","",IF(Calculator!$B$16=1,Calculator!$B$27,A531)*Calculator!$B$5*Calculator!$B$15)</f>
        <v/>
      </c>
      <c r="G531" s="16">
        <f>IF(A531="","",E531*Calculator!$B$6+Calculator!$C$37+F531+Calculator!$B$30)</f>
        <v/>
      </c>
      <c r="H531" s="16">
        <f>IF(A531="","",Calculator!$B$40-G531)</f>
        <v/>
      </c>
      <c r="I531" s="17">
        <f>IF(A531="","",A531*Calculator!$B$5*Calculator!$B$8/3600)</f>
        <v/>
      </c>
      <c r="J531" s="12">
        <f>IF(A531="","",Calculator!$B$35-E531)</f>
        <v/>
      </c>
    </row>
    <row r="532">
      <c r="A532" s="15">
        <f>IF(530/1000&lt;=Calculator!$B$27+0.0000001,530/1000,"")</f>
        <v/>
      </c>
      <c r="B532" s="15">
        <f>IF(A532="","",A532/Calculator!$B$27)</f>
        <v/>
      </c>
      <c r="C532" s="15">
        <f>IF(A532="","",Calculator!$B$27-A532)</f>
        <v/>
      </c>
      <c r="D532" s="17">
        <f>IF(A532="","",(Calculator!$B$11+C532)*Calculator!$B$5)</f>
        <v/>
      </c>
      <c r="E532" s="12">
        <f>IF(A532="","",IF(Calculator!$B$17=1,ROUNDUP(D532*Calculator!$B$8/3600/Calculator!$B$24-0.000000001,0),D532*Calculator!$B$8/3600/Calculator!$B$24))</f>
        <v/>
      </c>
      <c r="F532" s="16">
        <f>IF(A532="","",IF(Calculator!$B$16=1,Calculator!$B$27,A532)*Calculator!$B$5*Calculator!$B$15)</f>
        <v/>
      </c>
      <c r="G532" s="16">
        <f>IF(A532="","",E532*Calculator!$B$6+Calculator!$C$37+F532+Calculator!$B$30)</f>
        <v/>
      </c>
      <c r="H532" s="16">
        <f>IF(A532="","",Calculator!$B$40-G532)</f>
        <v/>
      </c>
      <c r="I532" s="17">
        <f>IF(A532="","",A532*Calculator!$B$5*Calculator!$B$8/3600)</f>
        <v/>
      </c>
      <c r="J532" s="12">
        <f>IF(A532="","",Calculator!$B$35-E532)</f>
        <v/>
      </c>
    </row>
    <row r="533">
      <c r="A533" s="15">
        <f>IF(531/1000&lt;=Calculator!$B$27+0.0000001,531/1000,"")</f>
        <v/>
      </c>
      <c r="B533" s="15">
        <f>IF(A533="","",A533/Calculator!$B$27)</f>
        <v/>
      </c>
      <c r="C533" s="15">
        <f>IF(A533="","",Calculator!$B$27-A533)</f>
        <v/>
      </c>
      <c r="D533" s="17">
        <f>IF(A533="","",(Calculator!$B$11+C533)*Calculator!$B$5)</f>
        <v/>
      </c>
      <c r="E533" s="12">
        <f>IF(A533="","",IF(Calculator!$B$17=1,ROUNDUP(D533*Calculator!$B$8/3600/Calculator!$B$24-0.000000001,0),D533*Calculator!$B$8/3600/Calculator!$B$24))</f>
        <v/>
      </c>
      <c r="F533" s="16">
        <f>IF(A533="","",IF(Calculator!$B$16=1,Calculator!$B$27,A533)*Calculator!$B$5*Calculator!$B$15)</f>
        <v/>
      </c>
      <c r="G533" s="16">
        <f>IF(A533="","",E533*Calculator!$B$6+Calculator!$C$37+F533+Calculator!$B$30)</f>
        <v/>
      </c>
      <c r="H533" s="16">
        <f>IF(A533="","",Calculator!$B$40-G533)</f>
        <v/>
      </c>
      <c r="I533" s="17">
        <f>IF(A533="","",A533*Calculator!$B$5*Calculator!$B$8/3600)</f>
        <v/>
      </c>
      <c r="J533" s="12">
        <f>IF(A533="","",Calculator!$B$35-E533)</f>
        <v/>
      </c>
    </row>
    <row r="534">
      <c r="A534" s="15">
        <f>IF(532/1000&lt;=Calculator!$B$27+0.0000001,532/1000,"")</f>
        <v/>
      </c>
      <c r="B534" s="15">
        <f>IF(A534="","",A534/Calculator!$B$27)</f>
        <v/>
      </c>
      <c r="C534" s="15">
        <f>IF(A534="","",Calculator!$B$27-A534)</f>
        <v/>
      </c>
      <c r="D534" s="17">
        <f>IF(A534="","",(Calculator!$B$11+C534)*Calculator!$B$5)</f>
        <v/>
      </c>
      <c r="E534" s="12">
        <f>IF(A534="","",IF(Calculator!$B$17=1,ROUNDUP(D534*Calculator!$B$8/3600/Calculator!$B$24-0.000000001,0),D534*Calculator!$B$8/3600/Calculator!$B$24))</f>
        <v/>
      </c>
      <c r="F534" s="16">
        <f>IF(A534="","",IF(Calculator!$B$16=1,Calculator!$B$27,A534)*Calculator!$B$5*Calculator!$B$15)</f>
        <v/>
      </c>
      <c r="G534" s="16">
        <f>IF(A534="","",E534*Calculator!$B$6+Calculator!$C$37+F534+Calculator!$B$30)</f>
        <v/>
      </c>
      <c r="H534" s="16">
        <f>IF(A534="","",Calculator!$B$40-G534)</f>
        <v/>
      </c>
      <c r="I534" s="17">
        <f>IF(A534="","",A534*Calculator!$B$5*Calculator!$B$8/3600)</f>
        <v/>
      </c>
      <c r="J534" s="12">
        <f>IF(A534="","",Calculator!$B$35-E534)</f>
        <v/>
      </c>
    </row>
    <row r="535">
      <c r="A535" s="15">
        <f>IF(533/1000&lt;=Calculator!$B$27+0.0000001,533/1000,"")</f>
        <v/>
      </c>
      <c r="B535" s="15">
        <f>IF(A535="","",A535/Calculator!$B$27)</f>
        <v/>
      </c>
      <c r="C535" s="15">
        <f>IF(A535="","",Calculator!$B$27-A535)</f>
        <v/>
      </c>
      <c r="D535" s="17">
        <f>IF(A535="","",(Calculator!$B$11+C535)*Calculator!$B$5)</f>
        <v/>
      </c>
      <c r="E535" s="12">
        <f>IF(A535="","",IF(Calculator!$B$17=1,ROUNDUP(D535*Calculator!$B$8/3600/Calculator!$B$24-0.000000001,0),D535*Calculator!$B$8/3600/Calculator!$B$24))</f>
        <v/>
      </c>
      <c r="F535" s="16">
        <f>IF(A535="","",IF(Calculator!$B$16=1,Calculator!$B$27,A535)*Calculator!$B$5*Calculator!$B$15)</f>
        <v/>
      </c>
      <c r="G535" s="16">
        <f>IF(A535="","",E535*Calculator!$B$6+Calculator!$C$37+F535+Calculator!$B$30)</f>
        <v/>
      </c>
      <c r="H535" s="16">
        <f>IF(A535="","",Calculator!$B$40-G535)</f>
        <v/>
      </c>
      <c r="I535" s="17">
        <f>IF(A535="","",A535*Calculator!$B$5*Calculator!$B$8/3600)</f>
        <v/>
      </c>
      <c r="J535" s="12">
        <f>IF(A535="","",Calculator!$B$35-E535)</f>
        <v/>
      </c>
    </row>
    <row r="536">
      <c r="A536" s="15">
        <f>IF(534/1000&lt;=Calculator!$B$27+0.0000001,534/1000,"")</f>
        <v/>
      </c>
      <c r="B536" s="15">
        <f>IF(A536="","",A536/Calculator!$B$27)</f>
        <v/>
      </c>
      <c r="C536" s="15">
        <f>IF(A536="","",Calculator!$B$27-A536)</f>
        <v/>
      </c>
      <c r="D536" s="17">
        <f>IF(A536="","",(Calculator!$B$11+C536)*Calculator!$B$5)</f>
        <v/>
      </c>
      <c r="E536" s="12">
        <f>IF(A536="","",IF(Calculator!$B$17=1,ROUNDUP(D536*Calculator!$B$8/3600/Calculator!$B$24-0.000000001,0),D536*Calculator!$B$8/3600/Calculator!$B$24))</f>
        <v/>
      </c>
      <c r="F536" s="16">
        <f>IF(A536="","",IF(Calculator!$B$16=1,Calculator!$B$27,A536)*Calculator!$B$5*Calculator!$B$15)</f>
        <v/>
      </c>
      <c r="G536" s="16">
        <f>IF(A536="","",E536*Calculator!$B$6+Calculator!$C$37+F536+Calculator!$B$30)</f>
        <v/>
      </c>
      <c r="H536" s="16">
        <f>IF(A536="","",Calculator!$B$40-G536)</f>
        <v/>
      </c>
      <c r="I536" s="17">
        <f>IF(A536="","",A536*Calculator!$B$5*Calculator!$B$8/3600)</f>
        <v/>
      </c>
      <c r="J536" s="12">
        <f>IF(A536="","",Calculator!$B$35-E536)</f>
        <v/>
      </c>
    </row>
    <row r="537">
      <c r="A537" s="15">
        <f>IF(535/1000&lt;=Calculator!$B$27+0.0000001,535/1000,"")</f>
        <v/>
      </c>
      <c r="B537" s="15">
        <f>IF(A537="","",A537/Calculator!$B$27)</f>
        <v/>
      </c>
      <c r="C537" s="15">
        <f>IF(A537="","",Calculator!$B$27-A537)</f>
        <v/>
      </c>
      <c r="D537" s="17">
        <f>IF(A537="","",(Calculator!$B$11+C537)*Calculator!$B$5)</f>
        <v/>
      </c>
      <c r="E537" s="12">
        <f>IF(A537="","",IF(Calculator!$B$17=1,ROUNDUP(D537*Calculator!$B$8/3600/Calculator!$B$24-0.000000001,0),D537*Calculator!$B$8/3600/Calculator!$B$24))</f>
        <v/>
      </c>
      <c r="F537" s="16">
        <f>IF(A537="","",IF(Calculator!$B$16=1,Calculator!$B$27,A537)*Calculator!$B$5*Calculator!$B$15)</f>
        <v/>
      </c>
      <c r="G537" s="16">
        <f>IF(A537="","",E537*Calculator!$B$6+Calculator!$C$37+F537+Calculator!$B$30)</f>
        <v/>
      </c>
      <c r="H537" s="16">
        <f>IF(A537="","",Calculator!$B$40-G537)</f>
        <v/>
      </c>
      <c r="I537" s="17">
        <f>IF(A537="","",A537*Calculator!$B$5*Calculator!$B$8/3600)</f>
        <v/>
      </c>
      <c r="J537" s="12">
        <f>IF(A537="","",Calculator!$B$35-E537)</f>
        <v/>
      </c>
    </row>
    <row r="538">
      <c r="A538" s="15">
        <f>IF(536/1000&lt;=Calculator!$B$27+0.0000001,536/1000,"")</f>
        <v/>
      </c>
      <c r="B538" s="15">
        <f>IF(A538="","",A538/Calculator!$B$27)</f>
        <v/>
      </c>
      <c r="C538" s="15">
        <f>IF(A538="","",Calculator!$B$27-A538)</f>
        <v/>
      </c>
      <c r="D538" s="17">
        <f>IF(A538="","",(Calculator!$B$11+C538)*Calculator!$B$5)</f>
        <v/>
      </c>
      <c r="E538" s="12">
        <f>IF(A538="","",IF(Calculator!$B$17=1,ROUNDUP(D538*Calculator!$B$8/3600/Calculator!$B$24-0.000000001,0),D538*Calculator!$B$8/3600/Calculator!$B$24))</f>
        <v/>
      </c>
      <c r="F538" s="16">
        <f>IF(A538="","",IF(Calculator!$B$16=1,Calculator!$B$27,A538)*Calculator!$B$5*Calculator!$B$15)</f>
        <v/>
      </c>
      <c r="G538" s="16">
        <f>IF(A538="","",E538*Calculator!$B$6+Calculator!$C$37+F538+Calculator!$B$30)</f>
        <v/>
      </c>
      <c r="H538" s="16">
        <f>IF(A538="","",Calculator!$B$40-G538)</f>
        <v/>
      </c>
      <c r="I538" s="17">
        <f>IF(A538="","",A538*Calculator!$B$5*Calculator!$B$8/3600)</f>
        <v/>
      </c>
      <c r="J538" s="12">
        <f>IF(A538="","",Calculator!$B$35-E538)</f>
        <v/>
      </c>
    </row>
    <row r="539">
      <c r="A539" s="15">
        <f>IF(537/1000&lt;=Calculator!$B$27+0.0000001,537/1000,"")</f>
        <v/>
      </c>
      <c r="B539" s="15">
        <f>IF(A539="","",A539/Calculator!$B$27)</f>
        <v/>
      </c>
      <c r="C539" s="15">
        <f>IF(A539="","",Calculator!$B$27-A539)</f>
        <v/>
      </c>
      <c r="D539" s="17">
        <f>IF(A539="","",(Calculator!$B$11+C539)*Calculator!$B$5)</f>
        <v/>
      </c>
      <c r="E539" s="12">
        <f>IF(A539="","",IF(Calculator!$B$17=1,ROUNDUP(D539*Calculator!$B$8/3600/Calculator!$B$24-0.000000001,0),D539*Calculator!$B$8/3600/Calculator!$B$24))</f>
        <v/>
      </c>
      <c r="F539" s="16">
        <f>IF(A539="","",IF(Calculator!$B$16=1,Calculator!$B$27,A539)*Calculator!$B$5*Calculator!$B$15)</f>
        <v/>
      </c>
      <c r="G539" s="16">
        <f>IF(A539="","",E539*Calculator!$B$6+Calculator!$C$37+F539+Calculator!$B$30)</f>
        <v/>
      </c>
      <c r="H539" s="16">
        <f>IF(A539="","",Calculator!$B$40-G539)</f>
        <v/>
      </c>
      <c r="I539" s="17">
        <f>IF(A539="","",A539*Calculator!$B$5*Calculator!$B$8/3600)</f>
        <v/>
      </c>
      <c r="J539" s="12">
        <f>IF(A539="","",Calculator!$B$35-E539)</f>
        <v/>
      </c>
    </row>
    <row r="540">
      <c r="A540" s="15">
        <f>IF(538/1000&lt;=Calculator!$B$27+0.0000001,538/1000,"")</f>
        <v/>
      </c>
      <c r="B540" s="15">
        <f>IF(A540="","",A540/Calculator!$B$27)</f>
        <v/>
      </c>
      <c r="C540" s="15">
        <f>IF(A540="","",Calculator!$B$27-A540)</f>
        <v/>
      </c>
      <c r="D540" s="17">
        <f>IF(A540="","",(Calculator!$B$11+C540)*Calculator!$B$5)</f>
        <v/>
      </c>
      <c r="E540" s="12">
        <f>IF(A540="","",IF(Calculator!$B$17=1,ROUNDUP(D540*Calculator!$B$8/3600/Calculator!$B$24-0.000000001,0),D540*Calculator!$B$8/3600/Calculator!$B$24))</f>
        <v/>
      </c>
      <c r="F540" s="16">
        <f>IF(A540="","",IF(Calculator!$B$16=1,Calculator!$B$27,A540)*Calculator!$B$5*Calculator!$B$15)</f>
        <v/>
      </c>
      <c r="G540" s="16">
        <f>IF(A540="","",E540*Calculator!$B$6+Calculator!$C$37+F540+Calculator!$B$30)</f>
        <v/>
      </c>
      <c r="H540" s="16">
        <f>IF(A540="","",Calculator!$B$40-G540)</f>
        <v/>
      </c>
      <c r="I540" s="17">
        <f>IF(A540="","",A540*Calculator!$B$5*Calculator!$B$8/3600)</f>
        <v/>
      </c>
      <c r="J540" s="12">
        <f>IF(A540="","",Calculator!$B$35-E540)</f>
        <v/>
      </c>
    </row>
    <row r="541">
      <c r="A541" s="15">
        <f>IF(539/1000&lt;=Calculator!$B$27+0.0000001,539/1000,"")</f>
        <v/>
      </c>
      <c r="B541" s="15">
        <f>IF(A541="","",A541/Calculator!$B$27)</f>
        <v/>
      </c>
      <c r="C541" s="15">
        <f>IF(A541="","",Calculator!$B$27-A541)</f>
        <v/>
      </c>
      <c r="D541" s="17">
        <f>IF(A541="","",(Calculator!$B$11+C541)*Calculator!$B$5)</f>
        <v/>
      </c>
      <c r="E541" s="12">
        <f>IF(A541="","",IF(Calculator!$B$17=1,ROUNDUP(D541*Calculator!$B$8/3600/Calculator!$B$24-0.000000001,0),D541*Calculator!$B$8/3600/Calculator!$B$24))</f>
        <v/>
      </c>
      <c r="F541" s="16">
        <f>IF(A541="","",IF(Calculator!$B$16=1,Calculator!$B$27,A541)*Calculator!$B$5*Calculator!$B$15)</f>
        <v/>
      </c>
      <c r="G541" s="16">
        <f>IF(A541="","",E541*Calculator!$B$6+Calculator!$C$37+F541+Calculator!$B$30)</f>
        <v/>
      </c>
      <c r="H541" s="16">
        <f>IF(A541="","",Calculator!$B$40-G541)</f>
        <v/>
      </c>
      <c r="I541" s="17">
        <f>IF(A541="","",A541*Calculator!$B$5*Calculator!$B$8/3600)</f>
        <v/>
      </c>
      <c r="J541" s="12">
        <f>IF(A541="","",Calculator!$B$35-E541)</f>
        <v/>
      </c>
    </row>
    <row r="542">
      <c r="A542" s="15">
        <f>IF(540/1000&lt;=Calculator!$B$27+0.0000001,540/1000,"")</f>
        <v/>
      </c>
      <c r="B542" s="15">
        <f>IF(A542="","",A542/Calculator!$B$27)</f>
        <v/>
      </c>
      <c r="C542" s="15">
        <f>IF(A542="","",Calculator!$B$27-A542)</f>
        <v/>
      </c>
      <c r="D542" s="17">
        <f>IF(A542="","",(Calculator!$B$11+C542)*Calculator!$B$5)</f>
        <v/>
      </c>
      <c r="E542" s="12">
        <f>IF(A542="","",IF(Calculator!$B$17=1,ROUNDUP(D542*Calculator!$B$8/3600/Calculator!$B$24-0.000000001,0),D542*Calculator!$B$8/3600/Calculator!$B$24))</f>
        <v/>
      </c>
      <c r="F542" s="16">
        <f>IF(A542="","",IF(Calculator!$B$16=1,Calculator!$B$27,A542)*Calculator!$B$5*Calculator!$B$15)</f>
        <v/>
      </c>
      <c r="G542" s="16">
        <f>IF(A542="","",E542*Calculator!$B$6+Calculator!$C$37+F542+Calculator!$B$30)</f>
        <v/>
      </c>
      <c r="H542" s="16">
        <f>IF(A542="","",Calculator!$B$40-G542)</f>
        <v/>
      </c>
      <c r="I542" s="17">
        <f>IF(A542="","",A542*Calculator!$B$5*Calculator!$B$8/3600)</f>
        <v/>
      </c>
      <c r="J542" s="12">
        <f>IF(A542="","",Calculator!$B$35-E542)</f>
        <v/>
      </c>
    </row>
    <row r="543">
      <c r="A543" s="15">
        <f>IF(541/1000&lt;=Calculator!$B$27+0.0000001,541/1000,"")</f>
        <v/>
      </c>
      <c r="B543" s="15">
        <f>IF(A543="","",A543/Calculator!$B$27)</f>
        <v/>
      </c>
      <c r="C543" s="15">
        <f>IF(A543="","",Calculator!$B$27-A543)</f>
        <v/>
      </c>
      <c r="D543" s="17">
        <f>IF(A543="","",(Calculator!$B$11+C543)*Calculator!$B$5)</f>
        <v/>
      </c>
      <c r="E543" s="12">
        <f>IF(A543="","",IF(Calculator!$B$17=1,ROUNDUP(D543*Calculator!$B$8/3600/Calculator!$B$24-0.000000001,0),D543*Calculator!$B$8/3600/Calculator!$B$24))</f>
        <v/>
      </c>
      <c r="F543" s="16">
        <f>IF(A543="","",IF(Calculator!$B$16=1,Calculator!$B$27,A543)*Calculator!$B$5*Calculator!$B$15)</f>
        <v/>
      </c>
      <c r="G543" s="16">
        <f>IF(A543="","",E543*Calculator!$B$6+Calculator!$C$37+F543+Calculator!$B$30)</f>
        <v/>
      </c>
      <c r="H543" s="16">
        <f>IF(A543="","",Calculator!$B$40-G543)</f>
        <v/>
      </c>
      <c r="I543" s="17">
        <f>IF(A543="","",A543*Calculator!$B$5*Calculator!$B$8/3600)</f>
        <v/>
      </c>
      <c r="J543" s="12">
        <f>IF(A543="","",Calculator!$B$35-E543)</f>
        <v/>
      </c>
    </row>
    <row r="544">
      <c r="A544" s="15">
        <f>IF(542/1000&lt;=Calculator!$B$27+0.0000001,542/1000,"")</f>
        <v/>
      </c>
      <c r="B544" s="15">
        <f>IF(A544="","",A544/Calculator!$B$27)</f>
        <v/>
      </c>
      <c r="C544" s="15">
        <f>IF(A544="","",Calculator!$B$27-A544)</f>
        <v/>
      </c>
      <c r="D544" s="17">
        <f>IF(A544="","",(Calculator!$B$11+C544)*Calculator!$B$5)</f>
        <v/>
      </c>
      <c r="E544" s="12">
        <f>IF(A544="","",IF(Calculator!$B$17=1,ROUNDUP(D544*Calculator!$B$8/3600/Calculator!$B$24-0.000000001,0),D544*Calculator!$B$8/3600/Calculator!$B$24))</f>
        <v/>
      </c>
      <c r="F544" s="16">
        <f>IF(A544="","",IF(Calculator!$B$16=1,Calculator!$B$27,A544)*Calculator!$B$5*Calculator!$B$15)</f>
        <v/>
      </c>
      <c r="G544" s="16">
        <f>IF(A544="","",E544*Calculator!$B$6+Calculator!$C$37+F544+Calculator!$B$30)</f>
        <v/>
      </c>
      <c r="H544" s="16">
        <f>IF(A544="","",Calculator!$B$40-G544)</f>
        <v/>
      </c>
      <c r="I544" s="17">
        <f>IF(A544="","",A544*Calculator!$B$5*Calculator!$B$8/3600)</f>
        <v/>
      </c>
      <c r="J544" s="12">
        <f>IF(A544="","",Calculator!$B$35-E544)</f>
        <v/>
      </c>
    </row>
    <row r="545">
      <c r="A545" s="15">
        <f>IF(543/1000&lt;=Calculator!$B$27+0.0000001,543/1000,"")</f>
        <v/>
      </c>
      <c r="B545" s="15">
        <f>IF(A545="","",A545/Calculator!$B$27)</f>
        <v/>
      </c>
      <c r="C545" s="15">
        <f>IF(A545="","",Calculator!$B$27-A545)</f>
        <v/>
      </c>
      <c r="D545" s="17">
        <f>IF(A545="","",(Calculator!$B$11+C545)*Calculator!$B$5)</f>
        <v/>
      </c>
      <c r="E545" s="12">
        <f>IF(A545="","",IF(Calculator!$B$17=1,ROUNDUP(D545*Calculator!$B$8/3600/Calculator!$B$24-0.000000001,0),D545*Calculator!$B$8/3600/Calculator!$B$24))</f>
        <v/>
      </c>
      <c r="F545" s="16">
        <f>IF(A545="","",IF(Calculator!$B$16=1,Calculator!$B$27,A545)*Calculator!$B$5*Calculator!$B$15)</f>
        <v/>
      </c>
      <c r="G545" s="16">
        <f>IF(A545="","",E545*Calculator!$B$6+Calculator!$C$37+F545+Calculator!$B$30)</f>
        <v/>
      </c>
      <c r="H545" s="16">
        <f>IF(A545="","",Calculator!$B$40-G545)</f>
        <v/>
      </c>
      <c r="I545" s="17">
        <f>IF(A545="","",A545*Calculator!$B$5*Calculator!$B$8/3600)</f>
        <v/>
      </c>
      <c r="J545" s="12">
        <f>IF(A545="","",Calculator!$B$35-E545)</f>
        <v/>
      </c>
    </row>
    <row r="546">
      <c r="A546" s="15">
        <f>IF(544/1000&lt;=Calculator!$B$27+0.0000001,544/1000,"")</f>
        <v/>
      </c>
      <c r="B546" s="15">
        <f>IF(A546="","",A546/Calculator!$B$27)</f>
        <v/>
      </c>
      <c r="C546" s="15">
        <f>IF(A546="","",Calculator!$B$27-A546)</f>
        <v/>
      </c>
      <c r="D546" s="17">
        <f>IF(A546="","",(Calculator!$B$11+C546)*Calculator!$B$5)</f>
        <v/>
      </c>
      <c r="E546" s="12">
        <f>IF(A546="","",IF(Calculator!$B$17=1,ROUNDUP(D546*Calculator!$B$8/3600/Calculator!$B$24-0.000000001,0),D546*Calculator!$B$8/3600/Calculator!$B$24))</f>
        <v/>
      </c>
      <c r="F546" s="16">
        <f>IF(A546="","",IF(Calculator!$B$16=1,Calculator!$B$27,A546)*Calculator!$B$5*Calculator!$B$15)</f>
        <v/>
      </c>
      <c r="G546" s="16">
        <f>IF(A546="","",E546*Calculator!$B$6+Calculator!$C$37+F546+Calculator!$B$30)</f>
        <v/>
      </c>
      <c r="H546" s="16">
        <f>IF(A546="","",Calculator!$B$40-G546)</f>
        <v/>
      </c>
      <c r="I546" s="17">
        <f>IF(A546="","",A546*Calculator!$B$5*Calculator!$B$8/3600)</f>
        <v/>
      </c>
      <c r="J546" s="12">
        <f>IF(A546="","",Calculator!$B$35-E546)</f>
        <v/>
      </c>
    </row>
    <row r="547">
      <c r="A547" s="15">
        <f>IF(545/1000&lt;=Calculator!$B$27+0.0000001,545/1000,"")</f>
        <v/>
      </c>
      <c r="B547" s="15">
        <f>IF(A547="","",A547/Calculator!$B$27)</f>
        <v/>
      </c>
      <c r="C547" s="15">
        <f>IF(A547="","",Calculator!$B$27-A547)</f>
        <v/>
      </c>
      <c r="D547" s="17">
        <f>IF(A547="","",(Calculator!$B$11+C547)*Calculator!$B$5)</f>
        <v/>
      </c>
      <c r="E547" s="12">
        <f>IF(A547="","",IF(Calculator!$B$17=1,ROUNDUP(D547*Calculator!$B$8/3600/Calculator!$B$24-0.000000001,0),D547*Calculator!$B$8/3600/Calculator!$B$24))</f>
        <v/>
      </c>
      <c r="F547" s="16">
        <f>IF(A547="","",IF(Calculator!$B$16=1,Calculator!$B$27,A547)*Calculator!$B$5*Calculator!$B$15)</f>
        <v/>
      </c>
      <c r="G547" s="16">
        <f>IF(A547="","",E547*Calculator!$B$6+Calculator!$C$37+F547+Calculator!$B$30)</f>
        <v/>
      </c>
      <c r="H547" s="16">
        <f>IF(A547="","",Calculator!$B$40-G547)</f>
        <v/>
      </c>
      <c r="I547" s="17">
        <f>IF(A547="","",A547*Calculator!$B$5*Calculator!$B$8/3600)</f>
        <v/>
      </c>
      <c r="J547" s="12">
        <f>IF(A547="","",Calculator!$B$35-E547)</f>
        <v/>
      </c>
    </row>
    <row r="548">
      <c r="A548" s="15">
        <f>IF(546/1000&lt;=Calculator!$B$27+0.0000001,546/1000,"")</f>
        <v/>
      </c>
      <c r="B548" s="15">
        <f>IF(A548="","",A548/Calculator!$B$27)</f>
        <v/>
      </c>
      <c r="C548" s="15">
        <f>IF(A548="","",Calculator!$B$27-A548)</f>
        <v/>
      </c>
      <c r="D548" s="17">
        <f>IF(A548="","",(Calculator!$B$11+C548)*Calculator!$B$5)</f>
        <v/>
      </c>
      <c r="E548" s="12">
        <f>IF(A548="","",IF(Calculator!$B$17=1,ROUNDUP(D548*Calculator!$B$8/3600/Calculator!$B$24-0.000000001,0),D548*Calculator!$B$8/3600/Calculator!$B$24))</f>
        <v/>
      </c>
      <c r="F548" s="16">
        <f>IF(A548="","",IF(Calculator!$B$16=1,Calculator!$B$27,A548)*Calculator!$B$5*Calculator!$B$15)</f>
        <v/>
      </c>
      <c r="G548" s="16">
        <f>IF(A548="","",E548*Calculator!$B$6+Calculator!$C$37+F548+Calculator!$B$30)</f>
        <v/>
      </c>
      <c r="H548" s="16">
        <f>IF(A548="","",Calculator!$B$40-G548)</f>
        <v/>
      </c>
      <c r="I548" s="17">
        <f>IF(A548="","",A548*Calculator!$B$5*Calculator!$B$8/3600)</f>
        <v/>
      </c>
      <c r="J548" s="12">
        <f>IF(A548="","",Calculator!$B$35-E548)</f>
        <v/>
      </c>
    </row>
    <row r="549">
      <c r="A549" s="15">
        <f>IF(547/1000&lt;=Calculator!$B$27+0.0000001,547/1000,"")</f>
        <v/>
      </c>
      <c r="B549" s="15">
        <f>IF(A549="","",A549/Calculator!$B$27)</f>
        <v/>
      </c>
      <c r="C549" s="15">
        <f>IF(A549="","",Calculator!$B$27-A549)</f>
        <v/>
      </c>
      <c r="D549" s="17">
        <f>IF(A549="","",(Calculator!$B$11+C549)*Calculator!$B$5)</f>
        <v/>
      </c>
      <c r="E549" s="12">
        <f>IF(A549="","",IF(Calculator!$B$17=1,ROUNDUP(D549*Calculator!$B$8/3600/Calculator!$B$24-0.000000001,0),D549*Calculator!$B$8/3600/Calculator!$B$24))</f>
        <v/>
      </c>
      <c r="F549" s="16">
        <f>IF(A549="","",IF(Calculator!$B$16=1,Calculator!$B$27,A549)*Calculator!$B$5*Calculator!$B$15)</f>
        <v/>
      </c>
      <c r="G549" s="16">
        <f>IF(A549="","",E549*Calculator!$B$6+Calculator!$C$37+F549+Calculator!$B$30)</f>
        <v/>
      </c>
      <c r="H549" s="16">
        <f>IF(A549="","",Calculator!$B$40-G549)</f>
        <v/>
      </c>
      <c r="I549" s="17">
        <f>IF(A549="","",A549*Calculator!$B$5*Calculator!$B$8/3600)</f>
        <v/>
      </c>
      <c r="J549" s="12">
        <f>IF(A549="","",Calculator!$B$35-E549)</f>
        <v/>
      </c>
    </row>
    <row r="550">
      <c r="A550" s="15">
        <f>IF(548/1000&lt;=Calculator!$B$27+0.0000001,548/1000,"")</f>
        <v/>
      </c>
      <c r="B550" s="15">
        <f>IF(A550="","",A550/Calculator!$B$27)</f>
        <v/>
      </c>
      <c r="C550" s="15">
        <f>IF(A550="","",Calculator!$B$27-A550)</f>
        <v/>
      </c>
      <c r="D550" s="17">
        <f>IF(A550="","",(Calculator!$B$11+C550)*Calculator!$B$5)</f>
        <v/>
      </c>
      <c r="E550" s="12">
        <f>IF(A550="","",IF(Calculator!$B$17=1,ROUNDUP(D550*Calculator!$B$8/3600/Calculator!$B$24-0.000000001,0),D550*Calculator!$B$8/3600/Calculator!$B$24))</f>
        <v/>
      </c>
      <c r="F550" s="16">
        <f>IF(A550="","",IF(Calculator!$B$16=1,Calculator!$B$27,A550)*Calculator!$B$5*Calculator!$B$15)</f>
        <v/>
      </c>
      <c r="G550" s="16">
        <f>IF(A550="","",E550*Calculator!$B$6+Calculator!$C$37+F550+Calculator!$B$30)</f>
        <v/>
      </c>
      <c r="H550" s="16">
        <f>IF(A550="","",Calculator!$B$40-G550)</f>
        <v/>
      </c>
      <c r="I550" s="17">
        <f>IF(A550="","",A550*Calculator!$B$5*Calculator!$B$8/3600)</f>
        <v/>
      </c>
      <c r="J550" s="12">
        <f>IF(A550="","",Calculator!$B$35-E550)</f>
        <v/>
      </c>
    </row>
    <row r="551">
      <c r="A551" s="15">
        <f>IF(549/1000&lt;=Calculator!$B$27+0.0000001,549/1000,"")</f>
        <v/>
      </c>
      <c r="B551" s="15">
        <f>IF(A551="","",A551/Calculator!$B$27)</f>
        <v/>
      </c>
      <c r="C551" s="15">
        <f>IF(A551="","",Calculator!$B$27-A551)</f>
        <v/>
      </c>
      <c r="D551" s="17">
        <f>IF(A551="","",(Calculator!$B$11+C551)*Calculator!$B$5)</f>
        <v/>
      </c>
      <c r="E551" s="12">
        <f>IF(A551="","",IF(Calculator!$B$17=1,ROUNDUP(D551*Calculator!$B$8/3600/Calculator!$B$24-0.000000001,0),D551*Calculator!$B$8/3600/Calculator!$B$24))</f>
        <v/>
      </c>
      <c r="F551" s="16">
        <f>IF(A551="","",IF(Calculator!$B$16=1,Calculator!$B$27,A551)*Calculator!$B$5*Calculator!$B$15)</f>
        <v/>
      </c>
      <c r="G551" s="16">
        <f>IF(A551="","",E551*Calculator!$B$6+Calculator!$C$37+F551+Calculator!$B$30)</f>
        <v/>
      </c>
      <c r="H551" s="16">
        <f>IF(A551="","",Calculator!$B$40-G551)</f>
        <v/>
      </c>
      <c r="I551" s="17">
        <f>IF(A551="","",A551*Calculator!$B$5*Calculator!$B$8/3600)</f>
        <v/>
      </c>
      <c r="J551" s="12">
        <f>IF(A551="","",Calculator!$B$35-E551)</f>
        <v/>
      </c>
    </row>
    <row r="552">
      <c r="A552" s="15">
        <f>IF(550/1000&lt;=Calculator!$B$27+0.0000001,550/1000,"")</f>
        <v/>
      </c>
      <c r="B552" s="15">
        <f>IF(A552="","",A552/Calculator!$B$27)</f>
        <v/>
      </c>
      <c r="C552" s="15">
        <f>IF(A552="","",Calculator!$B$27-A552)</f>
        <v/>
      </c>
      <c r="D552" s="17">
        <f>IF(A552="","",(Calculator!$B$11+C552)*Calculator!$B$5)</f>
        <v/>
      </c>
      <c r="E552" s="12">
        <f>IF(A552="","",IF(Calculator!$B$17=1,ROUNDUP(D552*Calculator!$B$8/3600/Calculator!$B$24-0.000000001,0),D552*Calculator!$B$8/3600/Calculator!$B$24))</f>
        <v/>
      </c>
      <c r="F552" s="16">
        <f>IF(A552="","",IF(Calculator!$B$16=1,Calculator!$B$27,A552)*Calculator!$B$5*Calculator!$B$15)</f>
        <v/>
      </c>
      <c r="G552" s="16">
        <f>IF(A552="","",E552*Calculator!$B$6+Calculator!$C$37+F552+Calculator!$B$30)</f>
        <v/>
      </c>
      <c r="H552" s="16">
        <f>IF(A552="","",Calculator!$B$40-G552)</f>
        <v/>
      </c>
      <c r="I552" s="17">
        <f>IF(A552="","",A552*Calculator!$B$5*Calculator!$B$8/3600)</f>
        <v/>
      </c>
      <c r="J552" s="12">
        <f>IF(A552="","",Calculator!$B$35-E552)</f>
        <v/>
      </c>
    </row>
    <row r="553">
      <c r="A553" s="15">
        <f>IF(551/1000&lt;=Calculator!$B$27+0.0000001,551/1000,"")</f>
        <v/>
      </c>
      <c r="B553" s="15">
        <f>IF(A553="","",A553/Calculator!$B$27)</f>
        <v/>
      </c>
      <c r="C553" s="15">
        <f>IF(A553="","",Calculator!$B$27-A553)</f>
        <v/>
      </c>
      <c r="D553" s="17">
        <f>IF(A553="","",(Calculator!$B$11+C553)*Calculator!$B$5)</f>
        <v/>
      </c>
      <c r="E553" s="12">
        <f>IF(A553="","",IF(Calculator!$B$17=1,ROUNDUP(D553*Calculator!$B$8/3600/Calculator!$B$24-0.000000001,0),D553*Calculator!$B$8/3600/Calculator!$B$24))</f>
        <v/>
      </c>
      <c r="F553" s="16">
        <f>IF(A553="","",IF(Calculator!$B$16=1,Calculator!$B$27,A553)*Calculator!$B$5*Calculator!$B$15)</f>
        <v/>
      </c>
      <c r="G553" s="16">
        <f>IF(A553="","",E553*Calculator!$B$6+Calculator!$C$37+F553+Calculator!$B$30)</f>
        <v/>
      </c>
      <c r="H553" s="16">
        <f>IF(A553="","",Calculator!$B$40-G553)</f>
        <v/>
      </c>
      <c r="I553" s="17">
        <f>IF(A553="","",A553*Calculator!$B$5*Calculator!$B$8/3600)</f>
        <v/>
      </c>
      <c r="J553" s="12">
        <f>IF(A553="","",Calculator!$B$35-E553)</f>
        <v/>
      </c>
    </row>
    <row r="554">
      <c r="A554" s="15">
        <f>IF(552/1000&lt;=Calculator!$B$27+0.0000001,552/1000,"")</f>
        <v/>
      </c>
      <c r="B554" s="15">
        <f>IF(A554="","",A554/Calculator!$B$27)</f>
        <v/>
      </c>
      <c r="C554" s="15">
        <f>IF(A554="","",Calculator!$B$27-A554)</f>
        <v/>
      </c>
      <c r="D554" s="17">
        <f>IF(A554="","",(Calculator!$B$11+C554)*Calculator!$B$5)</f>
        <v/>
      </c>
      <c r="E554" s="12">
        <f>IF(A554="","",IF(Calculator!$B$17=1,ROUNDUP(D554*Calculator!$B$8/3600/Calculator!$B$24-0.000000001,0),D554*Calculator!$B$8/3600/Calculator!$B$24))</f>
        <v/>
      </c>
      <c r="F554" s="16">
        <f>IF(A554="","",IF(Calculator!$B$16=1,Calculator!$B$27,A554)*Calculator!$B$5*Calculator!$B$15)</f>
        <v/>
      </c>
      <c r="G554" s="16">
        <f>IF(A554="","",E554*Calculator!$B$6+Calculator!$C$37+F554+Calculator!$B$30)</f>
        <v/>
      </c>
      <c r="H554" s="16">
        <f>IF(A554="","",Calculator!$B$40-G554)</f>
        <v/>
      </c>
      <c r="I554" s="17">
        <f>IF(A554="","",A554*Calculator!$B$5*Calculator!$B$8/3600)</f>
        <v/>
      </c>
      <c r="J554" s="12">
        <f>IF(A554="","",Calculator!$B$35-E554)</f>
        <v/>
      </c>
    </row>
    <row r="555">
      <c r="A555" s="15">
        <f>IF(553/1000&lt;=Calculator!$B$27+0.0000001,553/1000,"")</f>
        <v/>
      </c>
      <c r="B555" s="15">
        <f>IF(A555="","",A555/Calculator!$B$27)</f>
        <v/>
      </c>
      <c r="C555" s="15">
        <f>IF(A555="","",Calculator!$B$27-A555)</f>
        <v/>
      </c>
      <c r="D555" s="17">
        <f>IF(A555="","",(Calculator!$B$11+C555)*Calculator!$B$5)</f>
        <v/>
      </c>
      <c r="E555" s="12">
        <f>IF(A555="","",IF(Calculator!$B$17=1,ROUNDUP(D555*Calculator!$B$8/3600/Calculator!$B$24-0.000000001,0),D555*Calculator!$B$8/3600/Calculator!$B$24))</f>
        <v/>
      </c>
      <c r="F555" s="16">
        <f>IF(A555="","",IF(Calculator!$B$16=1,Calculator!$B$27,A555)*Calculator!$B$5*Calculator!$B$15)</f>
        <v/>
      </c>
      <c r="G555" s="16">
        <f>IF(A555="","",E555*Calculator!$B$6+Calculator!$C$37+F555+Calculator!$B$30)</f>
        <v/>
      </c>
      <c r="H555" s="16">
        <f>IF(A555="","",Calculator!$B$40-G555)</f>
        <v/>
      </c>
      <c r="I555" s="17">
        <f>IF(A555="","",A555*Calculator!$B$5*Calculator!$B$8/3600)</f>
        <v/>
      </c>
      <c r="J555" s="12">
        <f>IF(A555="","",Calculator!$B$35-E555)</f>
        <v/>
      </c>
    </row>
    <row r="556">
      <c r="A556" s="15">
        <f>IF(554/1000&lt;=Calculator!$B$27+0.0000001,554/1000,"")</f>
        <v/>
      </c>
      <c r="B556" s="15">
        <f>IF(A556="","",A556/Calculator!$B$27)</f>
        <v/>
      </c>
      <c r="C556" s="15">
        <f>IF(A556="","",Calculator!$B$27-A556)</f>
        <v/>
      </c>
      <c r="D556" s="17">
        <f>IF(A556="","",(Calculator!$B$11+C556)*Calculator!$B$5)</f>
        <v/>
      </c>
      <c r="E556" s="12">
        <f>IF(A556="","",IF(Calculator!$B$17=1,ROUNDUP(D556*Calculator!$B$8/3600/Calculator!$B$24-0.000000001,0),D556*Calculator!$B$8/3600/Calculator!$B$24))</f>
        <v/>
      </c>
      <c r="F556" s="16">
        <f>IF(A556="","",IF(Calculator!$B$16=1,Calculator!$B$27,A556)*Calculator!$B$5*Calculator!$B$15)</f>
        <v/>
      </c>
      <c r="G556" s="16">
        <f>IF(A556="","",E556*Calculator!$B$6+Calculator!$C$37+F556+Calculator!$B$30)</f>
        <v/>
      </c>
      <c r="H556" s="16">
        <f>IF(A556="","",Calculator!$B$40-G556)</f>
        <v/>
      </c>
      <c r="I556" s="17">
        <f>IF(A556="","",A556*Calculator!$B$5*Calculator!$B$8/3600)</f>
        <v/>
      </c>
      <c r="J556" s="12">
        <f>IF(A556="","",Calculator!$B$35-E556)</f>
        <v/>
      </c>
    </row>
    <row r="557">
      <c r="A557" s="15">
        <f>IF(555/1000&lt;=Calculator!$B$27+0.0000001,555/1000,"")</f>
        <v/>
      </c>
      <c r="B557" s="15">
        <f>IF(A557="","",A557/Calculator!$B$27)</f>
        <v/>
      </c>
      <c r="C557" s="15">
        <f>IF(A557="","",Calculator!$B$27-A557)</f>
        <v/>
      </c>
      <c r="D557" s="17">
        <f>IF(A557="","",(Calculator!$B$11+C557)*Calculator!$B$5)</f>
        <v/>
      </c>
      <c r="E557" s="12">
        <f>IF(A557="","",IF(Calculator!$B$17=1,ROUNDUP(D557*Calculator!$B$8/3600/Calculator!$B$24-0.000000001,0),D557*Calculator!$B$8/3600/Calculator!$B$24))</f>
        <v/>
      </c>
      <c r="F557" s="16">
        <f>IF(A557="","",IF(Calculator!$B$16=1,Calculator!$B$27,A557)*Calculator!$B$5*Calculator!$B$15)</f>
        <v/>
      </c>
      <c r="G557" s="16">
        <f>IF(A557="","",E557*Calculator!$B$6+Calculator!$C$37+F557+Calculator!$B$30)</f>
        <v/>
      </c>
      <c r="H557" s="16">
        <f>IF(A557="","",Calculator!$B$40-G557)</f>
        <v/>
      </c>
      <c r="I557" s="17">
        <f>IF(A557="","",A557*Calculator!$B$5*Calculator!$B$8/3600)</f>
        <v/>
      </c>
      <c r="J557" s="12">
        <f>IF(A557="","",Calculator!$B$35-E557)</f>
        <v/>
      </c>
    </row>
    <row r="558">
      <c r="A558" s="15">
        <f>IF(556/1000&lt;=Calculator!$B$27+0.0000001,556/1000,"")</f>
        <v/>
      </c>
      <c r="B558" s="15">
        <f>IF(A558="","",A558/Calculator!$B$27)</f>
        <v/>
      </c>
      <c r="C558" s="15">
        <f>IF(A558="","",Calculator!$B$27-A558)</f>
        <v/>
      </c>
      <c r="D558" s="17">
        <f>IF(A558="","",(Calculator!$B$11+C558)*Calculator!$B$5)</f>
        <v/>
      </c>
      <c r="E558" s="12">
        <f>IF(A558="","",IF(Calculator!$B$17=1,ROUNDUP(D558*Calculator!$B$8/3600/Calculator!$B$24-0.000000001,0),D558*Calculator!$B$8/3600/Calculator!$B$24))</f>
        <v/>
      </c>
      <c r="F558" s="16">
        <f>IF(A558="","",IF(Calculator!$B$16=1,Calculator!$B$27,A558)*Calculator!$B$5*Calculator!$B$15)</f>
        <v/>
      </c>
      <c r="G558" s="16">
        <f>IF(A558="","",E558*Calculator!$B$6+Calculator!$C$37+F558+Calculator!$B$30)</f>
        <v/>
      </c>
      <c r="H558" s="16">
        <f>IF(A558="","",Calculator!$B$40-G558)</f>
        <v/>
      </c>
      <c r="I558" s="17">
        <f>IF(A558="","",A558*Calculator!$B$5*Calculator!$B$8/3600)</f>
        <v/>
      </c>
      <c r="J558" s="12">
        <f>IF(A558="","",Calculator!$B$35-E558)</f>
        <v/>
      </c>
    </row>
    <row r="559">
      <c r="A559" s="15">
        <f>IF(557/1000&lt;=Calculator!$B$27+0.0000001,557/1000,"")</f>
        <v/>
      </c>
      <c r="B559" s="15">
        <f>IF(A559="","",A559/Calculator!$B$27)</f>
        <v/>
      </c>
      <c r="C559" s="15">
        <f>IF(A559="","",Calculator!$B$27-A559)</f>
        <v/>
      </c>
      <c r="D559" s="17">
        <f>IF(A559="","",(Calculator!$B$11+C559)*Calculator!$B$5)</f>
        <v/>
      </c>
      <c r="E559" s="12">
        <f>IF(A559="","",IF(Calculator!$B$17=1,ROUNDUP(D559*Calculator!$B$8/3600/Calculator!$B$24-0.000000001,0),D559*Calculator!$B$8/3600/Calculator!$B$24))</f>
        <v/>
      </c>
      <c r="F559" s="16">
        <f>IF(A559="","",IF(Calculator!$B$16=1,Calculator!$B$27,A559)*Calculator!$B$5*Calculator!$B$15)</f>
        <v/>
      </c>
      <c r="G559" s="16">
        <f>IF(A559="","",E559*Calculator!$B$6+Calculator!$C$37+F559+Calculator!$B$30)</f>
        <v/>
      </c>
      <c r="H559" s="16">
        <f>IF(A559="","",Calculator!$B$40-G559)</f>
        <v/>
      </c>
      <c r="I559" s="17">
        <f>IF(A559="","",A559*Calculator!$B$5*Calculator!$B$8/3600)</f>
        <v/>
      </c>
      <c r="J559" s="12">
        <f>IF(A559="","",Calculator!$B$35-E559)</f>
        <v/>
      </c>
    </row>
    <row r="560">
      <c r="A560" s="15">
        <f>IF(558/1000&lt;=Calculator!$B$27+0.0000001,558/1000,"")</f>
        <v/>
      </c>
      <c r="B560" s="15">
        <f>IF(A560="","",A560/Calculator!$B$27)</f>
        <v/>
      </c>
      <c r="C560" s="15">
        <f>IF(A560="","",Calculator!$B$27-A560)</f>
        <v/>
      </c>
      <c r="D560" s="17">
        <f>IF(A560="","",(Calculator!$B$11+C560)*Calculator!$B$5)</f>
        <v/>
      </c>
      <c r="E560" s="12">
        <f>IF(A560="","",IF(Calculator!$B$17=1,ROUNDUP(D560*Calculator!$B$8/3600/Calculator!$B$24-0.000000001,0),D560*Calculator!$B$8/3600/Calculator!$B$24))</f>
        <v/>
      </c>
      <c r="F560" s="16">
        <f>IF(A560="","",IF(Calculator!$B$16=1,Calculator!$B$27,A560)*Calculator!$B$5*Calculator!$B$15)</f>
        <v/>
      </c>
      <c r="G560" s="16">
        <f>IF(A560="","",E560*Calculator!$B$6+Calculator!$C$37+F560+Calculator!$B$30)</f>
        <v/>
      </c>
      <c r="H560" s="16">
        <f>IF(A560="","",Calculator!$B$40-G560)</f>
        <v/>
      </c>
      <c r="I560" s="17">
        <f>IF(A560="","",A560*Calculator!$B$5*Calculator!$B$8/3600)</f>
        <v/>
      </c>
      <c r="J560" s="12">
        <f>IF(A560="","",Calculator!$B$35-E560)</f>
        <v/>
      </c>
    </row>
    <row r="561">
      <c r="A561" s="15">
        <f>IF(559/1000&lt;=Calculator!$B$27+0.0000001,559/1000,"")</f>
        <v/>
      </c>
      <c r="B561" s="15">
        <f>IF(A561="","",A561/Calculator!$B$27)</f>
        <v/>
      </c>
      <c r="C561" s="15">
        <f>IF(A561="","",Calculator!$B$27-A561)</f>
        <v/>
      </c>
      <c r="D561" s="17">
        <f>IF(A561="","",(Calculator!$B$11+C561)*Calculator!$B$5)</f>
        <v/>
      </c>
      <c r="E561" s="12">
        <f>IF(A561="","",IF(Calculator!$B$17=1,ROUNDUP(D561*Calculator!$B$8/3600/Calculator!$B$24-0.000000001,0),D561*Calculator!$B$8/3600/Calculator!$B$24))</f>
        <v/>
      </c>
      <c r="F561" s="16">
        <f>IF(A561="","",IF(Calculator!$B$16=1,Calculator!$B$27,A561)*Calculator!$B$5*Calculator!$B$15)</f>
        <v/>
      </c>
      <c r="G561" s="16">
        <f>IF(A561="","",E561*Calculator!$B$6+Calculator!$C$37+F561+Calculator!$B$30)</f>
        <v/>
      </c>
      <c r="H561" s="16">
        <f>IF(A561="","",Calculator!$B$40-G561)</f>
        <v/>
      </c>
      <c r="I561" s="17">
        <f>IF(A561="","",A561*Calculator!$B$5*Calculator!$B$8/3600)</f>
        <v/>
      </c>
      <c r="J561" s="12">
        <f>IF(A561="","",Calculator!$B$35-E561)</f>
        <v/>
      </c>
    </row>
    <row r="562">
      <c r="A562" s="15">
        <f>IF(560/1000&lt;=Calculator!$B$27+0.0000001,560/1000,"")</f>
        <v/>
      </c>
      <c r="B562" s="15">
        <f>IF(A562="","",A562/Calculator!$B$27)</f>
        <v/>
      </c>
      <c r="C562" s="15">
        <f>IF(A562="","",Calculator!$B$27-A562)</f>
        <v/>
      </c>
      <c r="D562" s="17">
        <f>IF(A562="","",(Calculator!$B$11+C562)*Calculator!$B$5)</f>
        <v/>
      </c>
      <c r="E562" s="12">
        <f>IF(A562="","",IF(Calculator!$B$17=1,ROUNDUP(D562*Calculator!$B$8/3600/Calculator!$B$24-0.000000001,0),D562*Calculator!$B$8/3600/Calculator!$B$24))</f>
        <v/>
      </c>
      <c r="F562" s="16">
        <f>IF(A562="","",IF(Calculator!$B$16=1,Calculator!$B$27,A562)*Calculator!$B$5*Calculator!$B$15)</f>
        <v/>
      </c>
      <c r="G562" s="16">
        <f>IF(A562="","",E562*Calculator!$B$6+Calculator!$C$37+F562+Calculator!$B$30)</f>
        <v/>
      </c>
      <c r="H562" s="16">
        <f>IF(A562="","",Calculator!$B$40-G562)</f>
        <v/>
      </c>
      <c r="I562" s="17">
        <f>IF(A562="","",A562*Calculator!$B$5*Calculator!$B$8/3600)</f>
        <v/>
      </c>
      <c r="J562" s="12">
        <f>IF(A562="","",Calculator!$B$35-E562)</f>
        <v/>
      </c>
    </row>
    <row r="563">
      <c r="A563" s="15">
        <f>IF(561/1000&lt;=Calculator!$B$27+0.0000001,561/1000,"")</f>
        <v/>
      </c>
      <c r="B563" s="15">
        <f>IF(A563="","",A563/Calculator!$B$27)</f>
        <v/>
      </c>
      <c r="C563" s="15">
        <f>IF(A563="","",Calculator!$B$27-A563)</f>
        <v/>
      </c>
      <c r="D563" s="17">
        <f>IF(A563="","",(Calculator!$B$11+C563)*Calculator!$B$5)</f>
        <v/>
      </c>
      <c r="E563" s="12">
        <f>IF(A563="","",IF(Calculator!$B$17=1,ROUNDUP(D563*Calculator!$B$8/3600/Calculator!$B$24-0.000000001,0),D563*Calculator!$B$8/3600/Calculator!$B$24))</f>
        <v/>
      </c>
      <c r="F563" s="16">
        <f>IF(A563="","",IF(Calculator!$B$16=1,Calculator!$B$27,A563)*Calculator!$B$5*Calculator!$B$15)</f>
        <v/>
      </c>
      <c r="G563" s="16">
        <f>IF(A563="","",E563*Calculator!$B$6+Calculator!$C$37+F563+Calculator!$B$30)</f>
        <v/>
      </c>
      <c r="H563" s="16">
        <f>IF(A563="","",Calculator!$B$40-G563)</f>
        <v/>
      </c>
      <c r="I563" s="17">
        <f>IF(A563="","",A563*Calculator!$B$5*Calculator!$B$8/3600)</f>
        <v/>
      </c>
      <c r="J563" s="12">
        <f>IF(A563="","",Calculator!$B$35-E563)</f>
        <v/>
      </c>
    </row>
    <row r="564">
      <c r="A564" s="15">
        <f>IF(562/1000&lt;=Calculator!$B$27+0.0000001,562/1000,"")</f>
        <v/>
      </c>
      <c r="B564" s="15">
        <f>IF(A564="","",A564/Calculator!$B$27)</f>
        <v/>
      </c>
      <c r="C564" s="15">
        <f>IF(A564="","",Calculator!$B$27-A564)</f>
        <v/>
      </c>
      <c r="D564" s="17">
        <f>IF(A564="","",(Calculator!$B$11+C564)*Calculator!$B$5)</f>
        <v/>
      </c>
      <c r="E564" s="12">
        <f>IF(A564="","",IF(Calculator!$B$17=1,ROUNDUP(D564*Calculator!$B$8/3600/Calculator!$B$24-0.000000001,0),D564*Calculator!$B$8/3600/Calculator!$B$24))</f>
        <v/>
      </c>
      <c r="F564" s="16">
        <f>IF(A564="","",IF(Calculator!$B$16=1,Calculator!$B$27,A564)*Calculator!$B$5*Calculator!$B$15)</f>
        <v/>
      </c>
      <c r="G564" s="16">
        <f>IF(A564="","",E564*Calculator!$B$6+Calculator!$C$37+F564+Calculator!$B$30)</f>
        <v/>
      </c>
      <c r="H564" s="16">
        <f>IF(A564="","",Calculator!$B$40-G564)</f>
        <v/>
      </c>
      <c r="I564" s="17">
        <f>IF(A564="","",A564*Calculator!$B$5*Calculator!$B$8/3600)</f>
        <v/>
      </c>
      <c r="J564" s="12">
        <f>IF(A564="","",Calculator!$B$35-E564)</f>
        <v/>
      </c>
    </row>
    <row r="565">
      <c r="A565" s="15">
        <f>IF(563/1000&lt;=Calculator!$B$27+0.0000001,563/1000,"")</f>
        <v/>
      </c>
      <c r="B565" s="15">
        <f>IF(A565="","",A565/Calculator!$B$27)</f>
        <v/>
      </c>
      <c r="C565" s="15">
        <f>IF(A565="","",Calculator!$B$27-A565)</f>
        <v/>
      </c>
      <c r="D565" s="17">
        <f>IF(A565="","",(Calculator!$B$11+C565)*Calculator!$B$5)</f>
        <v/>
      </c>
      <c r="E565" s="12">
        <f>IF(A565="","",IF(Calculator!$B$17=1,ROUNDUP(D565*Calculator!$B$8/3600/Calculator!$B$24-0.000000001,0),D565*Calculator!$B$8/3600/Calculator!$B$24))</f>
        <v/>
      </c>
      <c r="F565" s="16">
        <f>IF(A565="","",IF(Calculator!$B$16=1,Calculator!$B$27,A565)*Calculator!$B$5*Calculator!$B$15)</f>
        <v/>
      </c>
      <c r="G565" s="16">
        <f>IF(A565="","",E565*Calculator!$B$6+Calculator!$C$37+F565+Calculator!$B$30)</f>
        <v/>
      </c>
      <c r="H565" s="16">
        <f>IF(A565="","",Calculator!$B$40-G565)</f>
        <v/>
      </c>
      <c r="I565" s="17">
        <f>IF(A565="","",A565*Calculator!$B$5*Calculator!$B$8/3600)</f>
        <v/>
      </c>
      <c r="J565" s="12">
        <f>IF(A565="","",Calculator!$B$35-E565)</f>
        <v/>
      </c>
    </row>
    <row r="566">
      <c r="A566" s="15">
        <f>IF(564/1000&lt;=Calculator!$B$27+0.0000001,564/1000,"")</f>
        <v/>
      </c>
      <c r="B566" s="15">
        <f>IF(A566="","",A566/Calculator!$B$27)</f>
        <v/>
      </c>
      <c r="C566" s="15">
        <f>IF(A566="","",Calculator!$B$27-A566)</f>
        <v/>
      </c>
      <c r="D566" s="17">
        <f>IF(A566="","",(Calculator!$B$11+C566)*Calculator!$B$5)</f>
        <v/>
      </c>
      <c r="E566" s="12">
        <f>IF(A566="","",IF(Calculator!$B$17=1,ROUNDUP(D566*Calculator!$B$8/3600/Calculator!$B$24-0.000000001,0),D566*Calculator!$B$8/3600/Calculator!$B$24))</f>
        <v/>
      </c>
      <c r="F566" s="16">
        <f>IF(A566="","",IF(Calculator!$B$16=1,Calculator!$B$27,A566)*Calculator!$B$5*Calculator!$B$15)</f>
        <v/>
      </c>
      <c r="G566" s="16">
        <f>IF(A566="","",E566*Calculator!$B$6+Calculator!$C$37+F566+Calculator!$B$30)</f>
        <v/>
      </c>
      <c r="H566" s="16">
        <f>IF(A566="","",Calculator!$B$40-G566)</f>
        <v/>
      </c>
      <c r="I566" s="17">
        <f>IF(A566="","",A566*Calculator!$B$5*Calculator!$B$8/3600)</f>
        <v/>
      </c>
      <c r="J566" s="12">
        <f>IF(A566="","",Calculator!$B$35-E566)</f>
        <v/>
      </c>
    </row>
    <row r="567">
      <c r="A567" s="15">
        <f>IF(565/1000&lt;=Calculator!$B$27+0.0000001,565/1000,"")</f>
        <v/>
      </c>
      <c r="B567" s="15">
        <f>IF(A567="","",A567/Calculator!$B$27)</f>
        <v/>
      </c>
      <c r="C567" s="15">
        <f>IF(A567="","",Calculator!$B$27-A567)</f>
        <v/>
      </c>
      <c r="D567" s="17">
        <f>IF(A567="","",(Calculator!$B$11+C567)*Calculator!$B$5)</f>
        <v/>
      </c>
      <c r="E567" s="12">
        <f>IF(A567="","",IF(Calculator!$B$17=1,ROUNDUP(D567*Calculator!$B$8/3600/Calculator!$B$24-0.000000001,0),D567*Calculator!$B$8/3600/Calculator!$B$24))</f>
        <v/>
      </c>
      <c r="F567" s="16">
        <f>IF(A567="","",IF(Calculator!$B$16=1,Calculator!$B$27,A567)*Calculator!$B$5*Calculator!$B$15)</f>
        <v/>
      </c>
      <c r="G567" s="16">
        <f>IF(A567="","",E567*Calculator!$B$6+Calculator!$C$37+F567+Calculator!$B$30)</f>
        <v/>
      </c>
      <c r="H567" s="16">
        <f>IF(A567="","",Calculator!$B$40-G567)</f>
        <v/>
      </c>
      <c r="I567" s="17">
        <f>IF(A567="","",A567*Calculator!$B$5*Calculator!$B$8/3600)</f>
        <v/>
      </c>
      <c r="J567" s="12">
        <f>IF(A567="","",Calculator!$B$35-E567)</f>
        <v/>
      </c>
    </row>
    <row r="568">
      <c r="A568" s="15">
        <f>IF(566/1000&lt;=Calculator!$B$27+0.0000001,566/1000,"")</f>
        <v/>
      </c>
      <c r="B568" s="15">
        <f>IF(A568="","",A568/Calculator!$B$27)</f>
        <v/>
      </c>
      <c r="C568" s="15">
        <f>IF(A568="","",Calculator!$B$27-A568)</f>
        <v/>
      </c>
      <c r="D568" s="17">
        <f>IF(A568="","",(Calculator!$B$11+C568)*Calculator!$B$5)</f>
        <v/>
      </c>
      <c r="E568" s="12">
        <f>IF(A568="","",IF(Calculator!$B$17=1,ROUNDUP(D568*Calculator!$B$8/3600/Calculator!$B$24-0.000000001,0),D568*Calculator!$B$8/3600/Calculator!$B$24))</f>
        <v/>
      </c>
      <c r="F568" s="16">
        <f>IF(A568="","",IF(Calculator!$B$16=1,Calculator!$B$27,A568)*Calculator!$B$5*Calculator!$B$15)</f>
        <v/>
      </c>
      <c r="G568" s="16">
        <f>IF(A568="","",E568*Calculator!$B$6+Calculator!$C$37+F568+Calculator!$B$30)</f>
        <v/>
      </c>
      <c r="H568" s="16">
        <f>IF(A568="","",Calculator!$B$40-G568)</f>
        <v/>
      </c>
      <c r="I568" s="17">
        <f>IF(A568="","",A568*Calculator!$B$5*Calculator!$B$8/3600)</f>
        <v/>
      </c>
      <c r="J568" s="12">
        <f>IF(A568="","",Calculator!$B$35-E568)</f>
        <v/>
      </c>
    </row>
    <row r="569">
      <c r="A569" s="15">
        <f>IF(567/1000&lt;=Calculator!$B$27+0.0000001,567/1000,"")</f>
        <v/>
      </c>
      <c r="B569" s="15">
        <f>IF(A569="","",A569/Calculator!$B$27)</f>
        <v/>
      </c>
      <c r="C569" s="15">
        <f>IF(A569="","",Calculator!$B$27-A569)</f>
        <v/>
      </c>
      <c r="D569" s="17">
        <f>IF(A569="","",(Calculator!$B$11+C569)*Calculator!$B$5)</f>
        <v/>
      </c>
      <c r="E569" s="12">
        <f>IF(A569="","",IF(Calculator!$B$17=1,ROUNDUP(D569*Calculator!$B$8/3600/Calculator!$B$24-0.000000001,0),D569*Calculator!$B$8/3600/Calculator!$B$24))</f>
        <v/>
      </c>
      <c r="F569" s="16">
        <f>IF(A569="","",IF(Calculator!$B$16=1,Calculator!$B$27,A569)*Calculator!$B$5*Calculator!$B$15)</f>
        <v/>
      </c>
      <c r="G569" s="16">
        <f>IF(A569="","",E569*Calculator!$B$6+Calculator!$C$37+F569+Calculator!$B$30)</f>
        <v/>
      </c>
      <c r="H569" s="16">
        <f>IF(A569="","",Calculator!$B$40-G569)</f>
        <v/>
      </c>
      <c r="I569" s="17">
        <f>IF(A569="","",A569*Calculator!$B$5*Calculator!$B$8/3600)</f>
        <v/>
      </c>
      <c r="J569" s="12">
        <f>IF(A569="","",Calculator!$B$35-E569)</f>
        <v/>
      </c>
    </row>
    <row r="570">
      <c r="A570" s="15">
        <f>IF(568/1000&lt;=Calculator!$B$27+0.0000001,568/1000,"")</f>
        <v/>
      </c>
      <c r="B570" s="15">
        <f>IF(A570="","",A570/Calculator!$B$27)</f>
        <v/>
      </c>
      <c r="C570" s="15">
        <f>IF(A570="","",Calculator!$B$27-A570)</f>
        <v/>
      </c>
      <c r="D570" s="17">
        <f>IF(A570="","",(Calculator!$B$11+C570)*Calculator!$B$5)</f>
        <v/>
      </c>
      <c r="E570" s="12">
        <f>IF(A570="","",IF(Calculator!$B$17=1,ROUNDUP(D570*Calculator!$B$8/3600/Calculator!$B$24-0.000000001,0),D570*Calculator!$B$8/3600/Calculator!$B$24))</f>
        <v/>
      </c>
      <c r="F570" s="16">
        <f>IF(A570="","",IF(Calculator!$B$16=1,Calculator!$B$27,A570)*Calculator!$B$5*Calculator!$B$15)</f>
        <v/>
      </c>
      <c r="G570" s="16">
        <f>IF(A570="","",E570*Calculator!$B$6+Calculator!$C$37+F570+Calculator!$B$30)</f>
        <v/>
      </c>
      <c r="H570" s="16">
        <f>IF(A570="","",Calculator!$B$40-G570)</f>
        <v/>
      </c>
      <c r="I570" s="17">
        <f>IF(A570="","",A570*Calculator!$B$5*Calculator!$B$8/3600)</f>
        <v/>
      </c>
      <c r="J570" s="12">
        <f>IF(A570="","",Calculator!$B$35-E570)</f>
        <v/>
      </c>
    </row>
    <row r="571">
      <c r="A571" s="15">
        <f>IF(569/1000&lt;=Calculator!$B$27+0.0000001,569/1000,"")</f>
        <v/>
      </c>
      <c r="B571" s="15">
        <f>IF(A571="","",A571/Calculator!$B$27)</f>
        <v/>
      </c>
      <c r="C571" s="15">
        <f>IF(A571="","",Calculator!$B$27-A571)</f>
        <v/>
      </c>
      <c r="D571" s="17">
        <f>IF(A571="","",(Calculator!$B$11+C571)*Calculator!$B$5)</f>
        <v/>
      </c>
      <c r="E571" s="12">
        <f>IF(A571="","",IF(Calculator!$B$17=1,ROUNDUP(D571*Calculator!$B$8/3600/Calculator!$B$24-0.000000001,0),D571*Calculator!$B$8/3600/Calculator!$B$24))</f>
        <v/>
      </c>
      <c r="F571" s="16">
        <f>IF(A571="","",IF(Calculator!$B$16=1,Calculator!$B$27,A571)*Calculator!$B$5*Calculator!$B$15)</f>
        <v/>
      </c>
      <c r="G571" s="16">
        <f>IF(A571="","",E571*Calculator!$B$6+Calculator!$C$37+F571+Calculator!$B$30)</f>
        <v/>
      </c>
      <c r="H571" s="16">
        <f>IF(A571="","",Calculator!$B$40-G571)</f>
        <v/>
      </c>
      <c r="I571" s="17">
        <f>IF(A571="","",A571*Calculator!$B$5*Calculator!$B$8/3600)</f>
        <v/>
      </c>
      <c r="J571" s="12">
        <f>IF(A571="","",Calculator!$B$35-E571)</f>
        <v/>
      </c>
    </row>
    <row r="572">
      <c r="A572" s="15">
        <f>IF(570/1000&lt;=Calculator!$B$27+0.0000001,570/1000,"")</f>
        <v/>
      </c>
      <c r="B572" s="15">
        <f>IF(A572="","",A572/Calculator!$B$27)</f>
        <v/>
      </c>
      <c r="C572" s="15">
        <f>IF(A572="","",Calculator!$B$27-A572)</f>
        <v/>
      </c>
      <c r="D572" s="17">
        <f>IF(A572="","",(Calculator!$B$11+C572)*Calculator!$B$5)</f>
        <v/>
      </c>
      <c r="E572" s="12">
        <f>IF(A572="","",IF(Calculator!$B$17=1,ROUNDUP(D572*Calculator!$B$8/3600/Calculator!$B$24-0.000000001,0),D572*Calculator!$B$8/3600/Calculator!$B$24))</f>
        <v/>
      </c>
      <c r="F572" s="16">
        <f>IF(A572="","",IF(Calculator!$B$16=1,Calculator!$B$27,A572)*Calculator!$B$5*Calculator!$B$15)</f>
        <v/>
      </c>
      <c r="G572" s="16">
        <f>IF(A572="","",E572*Calculator!$B$6+Calculator!$C$37+F572+Calculator!$B$30)</f>
        <v/>
      </c>
      <c r="H572" s="16">
        <f>IF(A572="","",Calculator!$B$40-G572)</f>
        <v/>
      </c>
      <c r="I572" s="17">
        <f>IF(A572="","",A572*Calculator!$B$5*Calculator!$B$8/3600)</f>
        <v/>
      </c>
      <c r="J572" s="12">
        <f>IF(A572="","",Calculator!$B$35-E572)</f>
        <v/>
      </c>
    </row>
    <row r="573">
      <c r="A573" s="15">
        <f>IF(571/1000&lt;=Calculator!$B$27+0.0000001,571/1000,"")</f>
        <v/>
      </c>
      <c r="B573" s="15">
        <f>IF(A573="","",A573/Calculator!$B$27)</f>
        <v/>
      </c>
      <c r="C573" s="15">
        <f>IF(A573="","",Calculator!$B$27-A573)</f>
        <v/>
      </c>
      <c r="D573" s="17">
        <f>IF(A573="","",(Calculator!$B$11+C573)*Calculator!$B$5)</f>
        <v/>
      </c>
      <c r="E573" s="12">
        <f>IF(A573="","",IF(Calculator!$B$17=1,ROUNDUP(D573*Calculator!$B$8/3600/Calculator!$B$24-0.000000001,0),D573*Calculator!$B$8/3600/Calculator!$B$24))</f>
        <v/>
      </c>
      <c r="F573" s="16">
        <f>IF(A573="","",IF(Calculator!$B$16=1,Calculator!$B$27,A573)*Calculator!$B$5*Calculator!$B$15)</f>
        <v/>
      </c>
      <c r="G573" s="16">
        <f>IF(A573="","",E573*Calculator!$B$6+Calculator!$C$37+F573+Calculator!$B$30)</f>
        <v/>
      </c>
      <c r="H573" s="16">
        <f>IF(A573="","",Calculator!$B$40-G573)</f>
        <v/>
      </c>
      <c r="I573" s="17">
        <f>IF(A573="","",A573*Calculator!$B$5*Calculator!$B$8/3600)</f>
        <v/>
      </c>
      <c r="J573" s="12">
        <f>IF(A573="","",Calculator!$B$35-E573)</f>
        <v/>
      </c>
    </row>
    <row r="574">
      <c r="A574" s="15">
        <f>IF(572/1000&lt;=Calculator!$B$27+0.0000001,572/1000,"")</f>
        <v/>
      </c>
      <c r="B574" s="15">
        <f>IF(A574="","",A574/Calculator!$B$27)</f>
        <v/>
      </c>
      <c r="C574" s="15">
        <f>IF(A574="","",Calculator!$B$27-A574)</f>
        <v/>
      </c>
      <c r="D574" s="17">
        <f>IF(A574="","",(Calculator!$B$11+C574)*Calculator!$B$5)</f>
        <v/>
      </c>
      <c r="E574" s="12">
        <f>IF(A574="","",IF(Calculator!$B$17=1,ROUNDUP(D574*Calculator!$B$8/3600/Calculator!$B$24-0.000000001,0),D574*Calculator!$B$8/3600/Calculator!$B$24))</f>
        <v/>
      </c>
      <c r="F574" s="16">
        <f>IF(A574="","",IF(Calculator!$B$16=1,Calculator!$B$27,A574)*Calculator!$B$5*Calculator!$B$15)</f>
        <v/>
      </c>
      <c r="G574" s="16">
        <f>IF(A574="","",E574*Calculator!$B$6+Calculator!$C$37+F574+Calculator!$B$30)</f>
        <v/>
      </c>
      <c r="H574" s="16">
        <f>IF(A574="","",Calculator!$B$40-G574)</f>
        <v/>
      </c>
      <c r="I574" s="17">
        <f>IF(A574="","",A574*Calculator!$B$5*Calculator!$B$8/3600)</f>
        <v/>
      </c>
      <c r="J574" s="12">
        <f>IF(A574="","",Calculator!$B$35-E574)</f>
        <v/>
      </c>
    </row>
    <row r="575">
      <c r="A575" s="15">
        <f>IF(573/1000&lt;=Calculator!$B$27+0.0000001,573/1000,"")</f>
        <v/>
      </c>
      <c r="B575" s="15">
        <f>IF(A575="","",A575/Calculator!$B$27)</f>
        <v/>
      </c>
      <c r="C575" s="15">
        <f>IF(A575="","",Calculator!$B$27-A575)</f>
        <v/>
      </c>
      <c r="D575" s="17">
        <f>IF(A575="","",(Calculator!$B$11+C575)*Calculator!$B$5)</f>
        <v/>
      </c>
      <c r="E575" s="12">
        <f>IF(A575="","",IF(Calculator!$B$17=1,ROUNDUP(D575*Calculator!$B$8/3600/Calculator!$B$24-0.000000001,0),D575*Calculator!$B$8/3600/Calculator!$B$24))</f>
        <v/>
      </c>
      <c r="F575" s="16">
        <f>IF(A575="","",IF(Calculator!$B$16=1,Calculator!$B$27,A575)*Calculator!$B$5*Calculator!$B$15)</f>
        <v/>
      </c>
      <c r="G575" s="16">
        <f>IF(A575="","",E575*Calculator!$B$6+Calculator!$C$37+F575+Calculator!$B$30)</f>
        <v/>
      </c>
      <c r="H575" s="16">
        <f>IF(A575="","",Calculator!$B$40-G575)</f>
        <v/>
      </c>
      <c r="I575" s="17">
        <f>IF(A575="","",A575*Calculator!$B$5*Calculator!$B$8/3600)</f>
        <v/>
      </c>
      <c r="J575" s="12">
        <f>IF(A575="","",Calculator!$B$35-E575)</f>
        <v/>
      </c>
    </row>
    <row r="576">
      <c r="A576" s="15">
        <f>IF(574/1000&lt;=Calculator!$B$27+0.0000001,574/1000,"")</f>
        <v/>
      </c>
      <c r="B576" s="15">
        <f>IF(A576="","",A576/Calculator!$B$27)</f>
        <v/>
      </c>
      <c r="C576" s="15">
        <f>IF(A576="","",Calculator!$B$27-A576)</f>
        <v/>
      </c>
      <c r="D576" s="17">
        <f>IF(A576="","",(Calculator!$B$11+C576)*Calculator!$B$5)</f>
        <v/>
      </c>
      <c r="E576" s="12">
        <f>IF(A576="","",IF(Calculator!$B$17=1,ROUNDUP(D576*Calculator!$B$8/3600/Calculator!$B$24-0.000000001,0),D576*Calculator!$B$8/3600/Calculator!$B$24))</f>
        <v/>
      </c>
      <c r="F576" s="16">
        <f>IF(A576="","",IF(Calculator!$B$16=1,Calculator!$B$27,A576)*Calculator!$B$5*Calculator!$B$15)</f>
        <v/>
      </c>
      <c r="G576" s="16">
        <f>IF(A576="","",E576*Calculator!$B$6+Calculator!$C$37+F576+Calculator!$B$30)</f>
        <v/>
      </c>
      <c r="H576" s="16">
        <f>IF(A576="","",Calculator!$B$40-G576)</f>
        <v/>
      </c>
      <c r="I576" s="17">
        <f>IF(A576="","",A576*Calculator!$B$5*Calculator!$B$8/3600)</f>
        <v/>
      </c>
      <c r="J576" s="12">
        <f>IF(A576="","",Calculator!$B$35-E576)</f>
        <v/>
      </c>
    </row>
    <row r="577">
      <c r="A577" s="15">
        <f>IF(575/1000&lt;=Calculator!$B$27+0.0000001,575/1000,"")</f>
        <v/>
      </c>
      <c r="B577" s="15">
        <f>IF(A577="","",A577/Calculator!$B$27)</f>
        <v/>
      </c>
      <c r="C577" s="15">
        <f>IF(A577="","",Calculator!$B$27-A577)</f>
        <v/>
      </c>
      <c r="D577" s="17">
        <f>IF(A577="","",(Calculator!$B$11+C577)*Calculator!$B$5)</f>
        <v/>
      </c>
      <c r="E577" s="12">
        <f>IF(A577="","",IF(Calculator!$B$17=1,ROUNDUP(D577*Calculator!$B$8/3600/Calculator!$B$24-0.000000001,0),D577*Calculator!$B$8/3600/Calculator!$B$24))</f>
        <v/>
      </c>
      <c r="F577" s="16">
        <f>IF(A577="","",IF(Calculator!$B$16=1,Calculator!$B$27,A577)*Calculator!$B$5*Calculator!$B$15)</f>
        <v/>
      </c>
      <c r="G577" s="16">
        <f>IF(A577="","",E577*Calculator!$B$6+Calculator!$C$37+F577+Calculator!$B$30)</f>
        <v/>
      </c>
      <c r="H577" s="16">
        <f>IF(A577="","",Calculator!$B$40-G577)</f>
        <v/>
      </c>
      <c r="I577" s="17">
        <f>IF(A577="","",A577*Calculator!$B$5*Calculator!$B$8/3600)</f>
        <v/>
      </c>
      <c r="J577" s="12">
        <f>IF(A577="","",Calculator!$B$35-E577)</f>
        <v/>
      </c>
    </row>
    <row r="578">
      <c r="A578" s="15">
        <f>IF(576/1000&lt;=Calculator!$B$27+0.0000001,576/1000,"")</f>
        <v/>
      </c>
      <c r="B578" s="15">
        <f>IF(A578="","",A578/Calculator!$B$27)</f>
        <v/>
      </c>
      <c r="C578" s="15">
        <f>IF(A578="","",Calculator!$B$27-A578)</f>
        <v/>
      </c>
      <c r="D578" s="17">
        <f>IF(A578="","",(Calculator!$B$11+C578)*Calculator!$B$5)</f>
        <v/>
      </c>
      <c r="E578" s="12">
        <f>IF(A578="","",IF(Calculator!$B$17=1,ROUNDUP(D578*Calculator!$B$8/3600/Calculator!$B$24-0.000000001,0),D578*Calculator!$B$8/3600/Calculator!$B$24))</f>
        <v/>
      </c>
      <c r="F578" s="16">
        <f>IF(A578="","",IF(Calculator!$B$16=1,Calculator!$B$27,A578)*Calculator!$B$5*Calculator!$B$15)</f>
        <v/>
      </c>
      <c r="G578" s="16">
        <f>IF(A578="","",E578*Calculator!$B$6+Calculator!$C$37+F578+Calculator!$B$30)</f>
        <v/>
      </c>
      <c r="H578" s="16">
        <f>IF(A578="","",Calculator!$B$40-G578)</f>
        <v/>
      </c>
      <c r="I578" s="17">
        <f>IF(A578="","",A578*Calculator!$B$5*Calculator!$B$8/3600)</f>
        <v/>
      </c>
      <c r="J578" s="12">
        <f>IF(A578="","",Calculator!$B$35-E578)</f>
        <v/>
      </c>
    </row>
    <row r="579">
      <c r="A579" s="15">
        <f>IF(577/1000&lt;=Calculator!$B$27+0.0000001,577/1000,"")</f>
        <v/>
      </c>
      <c r="B579" s="15">
        <f>IF(A579="","",A579/Calculator!$B$27)</f>
        <v/>
      </c>
      <c r="C579" s="15">
        <f>IF(A579="","",Calculator!$B$27-A579)</f>
        <v/>
      </c>
      <c r="D579" s="17">
        <f>IF(A579="","",(Calculator!$B$11+C579)*Calculator!$B$5)</f>
        <v/>
      </c>
      <c r="E579" s="12">
        <f>IF(A579="","",IF(Calculator!$B$17=1,ROUNDUP(D579*Calculator!$B$8/3600/Calculator!$B$24-0.000000001,0),D579*Calculator!$B$8/3600/Calculator!$B$24))</f>
        <v/>
      </c>
      <c r="F579" s="16">
        <f>IF(A579="","",IF(Calculator!$B$16=1,Calculator!$B$27,A579)*Calculator!$B$5*Calculator!$B$15)</f>
        <v/>
      </c>
      <c r="G579" s="16">
        <f>IF(A579="","",E579*Calculator!$B$6+Calculator!$C$37+F579+Calculator!$B$30)</f>
        <v/>
      </c>
      <c r="H579" s="16">
        <f>IF(A579="","",Calculator!$B$40-G579)</f>
        <v/>
      </c>
      <c r="I579" s="17">
        <f>IF(A579="","",A579*Calculator!$B$5*Calculator!$B$8/3600)</f>
        <v/>
      </c>
      <c r="J579" s="12">
        <f>IF(A579="","",Calculator!$B$35-E579)</f>
        <v/>
      </c>
    </row>
    <row r="580">
      <c r="A580" s="15">
        <f>IF(578/1000&lt;=Calculator!$B$27+0.0000001,578/1000,"")</f>
        <v/>
      </c>
      <c r="B580" s="15">
        <f>IF(A580="","",A580/Calculator!$B$27)</f>
        <v/>
      </c>
      <c r="C580" s="15">
        <f>IF(A580="","",Calculator!$B$27-A580)</f>
        <v/>
      </c>
      <c r="D580" s="17">
        <f>IF(A580="","",(Calculator!$B$11+C580)*Calculator!$B$5)</f>
        <v/>
      </c>
      <c r="E580" s="12">
        <f>IF(A580="","",IF(Calculator!$B$17=1,ROUNDUP(D580*Calculator!$B$8/3600/Calculator!$B$24-0.000000001,0),D580*Calculator!$B$8/3600/Calculator!$B$24))</f>
        <v/>
      </c>
      <c r="F580" s="16">
        <f>IF(A580="","",IF(Calculator!$B$16=1,Calculator!$B$27,A580)*Calculator!$B$5*Calculator!$B$15)</f>
        <v/>
      </c>
      <c r="G580" s="16">
        <f>IF(A580="","",E580*Calculator!$B$6+Calculator!$C$37+F580+Calculator!$B$30)</f>
        <v/>
      </c>
      <c r="H580" s="16">
        <f>IF(A580="","",Calculator!$B$40-G580)</f>
        <v/>
      </c>
      <c r="I580" s="17">
        <f>IF(A580="","",A580*Calculator!$B$5*Calculator!$B$8/3600)</f>
        <v/>
      </c>
      <c r="J580" s="12">
        <f>IF(A580="","",Calculator!$B$35-E580)</f>
        <v/>
      </c>
    </row>
    <row r="581">
      <c r="A581" s="15">
        <f>IF(579/1000&lt;=Calculator!$B$27+0.0000001,579/1000,"")</f>
        <v/>
      </c>
      <c r="B581" s="15">
        <f>IF(A581="","",A581/Calculator!$B$27)</f>
        <v/>
      </c>
      <c r="C581" s="15">
        <f>IF(A581="","",Calculator!$B$27-A581)</f>
        <v/>
      </c>
      <c r="D581" s="17">
        <f>IF(A581="","",(Calculator!$B$11+C581)*Calculator!$B$5)</f>
        <v/>
      </c>
      <c r="E581" s="12">
        <f>IF(A581="","",IF(Calculator!$B$17=1,ROUNDUP(D581*Calculator!$B$8/3600/Calculator!$B$24-0.000000001,0),D581*Calculator!$B$8/3600/Calculator!$B$24))</f>
        <v/>
      </c>
      <c r="F581" s="16">
        <f>IF(A581="","",IF(Calculator!$B$16=1,Calculator!$B$27,A581)*Calculator!$B$5*Calculator!$B$15)</f>
        <v/>
      </c>
      <c r="G581" s="16">
        <f>IF(A581="","",E581*Calculator!$B$6+Calculator!$C$37+F581+Calculator!$B$30)</f>
        <v/>
      </c>
      <c r="H581" s="16">
        <f>IF(A581="","",Calculator!$B$40-G581)</f>
        <v/>
      </c>
      <c r="I581" s="17">
        <f>IF(A581="","",A581*Calculator!$B$5*Calculator!$B$8/3600)</f>
        <v/>
      </c>
      <c r="J581" s="12">
        <f>IF(A581="","",Calculator!$B$35-E581)</f>
        <v/>
      </c>
    </row>
    <row r="582">
      <c r="A582" s="15">
        <f>IF(580/1000&lt;=Calculator!$B$27+0.0000001,580/1000,"")</f>
        <v/>
      </c>
      <c r="B582" s="15">
        <f>IF(A582="","",A582/Calculator!$B$27)</f>
        <v/>
      </c>
      <c r="C582" s="15">
        <f>IF(A582="","",Calculator!$B$27-A582)</f>
        <v/>
      </c>
      <c r="D582" s="17">
        <f>IF(A582="","",(Calculator!$B$11+C582)*Calculator!$B$5)</f>
        <v/>
      </c>
      <c r="E582" s="12">
        <f>IF(A582="","",IF(Calculator!$B$17=1,ROUNDUP(D582*Calculator!$B$8/3600/Calculator!$B$24-0.000000001,0),D582*Calculator!$B$8/3600/Calculator!$B$24))</f>
        <v/>
      </c>
      <c r="F582" s="16">
        <f>IF(A582="","",IF(Calculator!$B$16=1,Calculator!$B$27,A582)*Calculator!$B$5*Calculator!$B$15)</f>
        <v/>
      </c>
      <c r="G582" s="16">
        <f>IF(A582="","",E582*Calculator!$B$6+Calculator!$C$37+F582+Calculator!$B$30)</f>
        <v/>
      </c>
      <c r="H582" s="16">
        <f>IF(A582="","",Calculator!$B$40-G582)</f>
        <v/>
      </c>
      <c r="I582" s="17">
        <f>IF(A582="","",A582*Calculator!$B$5*Calculator!$B$8/3600)</f>
        <v/>
      </c>
      <c r="J582" s="12">
        <f>IF(A582="","",Calculator!$B$35-E582)</f>
        <v/>
      </c>
    </row>
    <row r="583">
      <c r="A583" s="15">
        <f>IF(581/1000&lt;=Calculator!$B$27+0.0000001,581/1000,"")</f>
        <v/>
      </c>
      <c r="B583" s="15">
        <f>IF(A583="","",A583/Calculator!$B$27)</f>
        <v/>
      </c>
      <c r="C583" s="15">
        <f>IF(A583="","",Calculator!$B$27-A583)</f>
        <v/>
      </c>
      <c r="D583" s="17">
        <f>IF(A583="","",(Calculator!$B$11+C583)*Calculator!$B$5)</f>
        <v/>
      </c>
      <c r="E583" s="12">
        <f>IF(A583="","",IF(Calculator!$B$17=1,ROUNDUP(D583*Calculator!$B$8/3600/Calculator!$B$24-0.000000001,0),D583*Calculator!$B$8/3600/Calculator!$B$24))</f>
        <v/>
      </c>
      <c r="F583" s="16">
        <f>IF(A583="","",IF(Calculator!$B$16=1,Calculator!$B$27,A583)*Calculator!$B$5*Calculator!$B$15)</f>
        <v/>
      </c>
      <c r="G583" s="16">
        <f>IF(A583="","",E583*Calculator!$B$6+Calculator!$C$37+F583+Calculator!$B$30)</f>
        <v/>
      </c>
      <c r="H583" s="16">
        <f>IF(A583="","",Calculator!$B$40-G583)</f>
        <v/>
      </c>
      <c r="I583" s="17">
        <f>IF(A583="","",A583*Calculator!$B$5*Calculator!$B$8/3600)</f>
        <v/>
      </c>
      <c r="J583" s="12">
        <f>IF(A583="","",Calculator!$B$35-E583)</f>
        <v/>
      </c>
    </row>
    <row r="584">
      <c r="A584" s="15">
        <f>IF(582/1000&lt;=Calculator!$B$27+0.0000001,582/1000,"")</f>
        <v/>
      </c>
      <c r="B584" s="15">
        <f>IF(A584="","",A584/Calculator!$B$27)</f>
        <v/>
      </c>
      <c r="C584" s="15">
        <f>IF(A584="","",Calculator!$B$27-A584)</f>
        <v/>
      </c>
      <c r="D584" s="17">
        <f>IF(A584="","",(Calculator!$B$11+C584)*Calculator!$B$5)</f>
        <v/>
      </c>
      <c r="E584" s="12">
        <f>IF(A584="","",IF(Calculator!$B$17=1,ROUNDUP(D584*Calculator!$B$8/3600/Calculator!$B$24-0.000000001,0),D584*Calculator!$B$8/3600/Calculator!$B$24))</f>
        <v/>
      </c>
      <c r="F584" s="16">
        <f>IF(A584="","",IF(Calculator!$B$16=1,Calculator!$B$27,A584)*Calculator!$B$5*Calculator!$B$15)</f>
        <v/>
      </c>
      <c r="G584" s="16">
        <f>IF(A584="","",E584*Calculator!$B$6+Calculator!$C$37+F584+Calculator!$B$30)</f>
        <v/>
      </c>
      <c r="H584" s="16">
        <f>IF(A584="","",Calculator!$B$40-G584)</f>
        <v/>
      </c>
      <c r="I584" s="17">
        <f>IF(A584="","",A584*Calculator!$B$5*Calculator!$B$8/3600)</f>
        <v/>
      </c>
      <c r="J584" s="12">
        <f>IF(A584="","",Calculator!$B$35-E584)</f>
        <v/>
      </c>
    </row>
    <row r="585">
      <c r="A585" s="15">
        <f>IF(583/1000&lt;=Calculator!$B$27+0.0000001,583/1000,"")</f>
        <v/>
      </c>
      <c r="B585" s="15">
        <f>IF(A585="","",A585/Calculator!$B$27)</f>
        <v/>
      </c>
      <c r="C585" s="15">
        <f>IF(A585="","",Calculator!$B$27-A585)</f>
        <v/>
      </c>
      <c r="D585" s="17">
        <f>IF(A585="","",(Calculator!$B$11+C585)*Calculator!$B$5)</f>
        <v/>
      </c>
      <c r="E585" s="12">
        <f>IF(A585="","",IF(Calculator!$B$17=1,ROUNDUP(D585*Calculator!$B$8/3600/Calculator!$B$24-0.000000001,0),D585*Calculator!$B$8/3600/Calculator!$B$24))</f>
        <v/>
      </c>
      <c r="F585" s="16">
        <f>IF(A585="","",IF(Calculator!$B$16=1,Calculator!$B$27,A585)*Calculator!$B$5*Calculator!$B$15)</f>
        <v/>
      </c>
      <c r="G585" s="16">
        <f>IF(A585="","",E585*Calculator!$B$6+Calculator!$C$37+F585+Calculator!$B$30)</f>
        <v/>
      </c>
      <c r="H585" s="16">
        <f>IF(A585="","",Calculator!$B$40-G585)</f>
        <v/>
      </c>
      <c r="I585" s="17">
        <f>IF(A585="","",A585*Calculator!$B$5*Calculator!$B$8/3600)</f>
        <v/>
      </c>
      <c r="J585" s="12">
        <f>IF(A585="","",Calculator!$B$35-E585)</f>
        <v/>
      </c>
    </row>
    <row r="586">
      <c r="A586" s="15">
        <f>IF(584/1000&lt;=Calculator!$B$27+0.0000001,584/1000,"")</f>
        <v/>
      </c>
      <c r="B586" s="15">
        <f>IF(A586="","",A586/Calculator!$B$27)</f>
        <v/>
      </c>
      <c r="C586" s="15">
        <f>IF(A586="","",Calculator!$B$27-A586)</f>
        <v/>
      </c>
      <c r="D586" s="17">
        <f>IF(A586="","",(Calculator!$B$11+C586)*Calculator!$B$5)</f>
        <v/>
      </c>
      <c r="E586" s="12">
        <f>IF(A586="","",IF(Calculator!$B$17=1,ROUNDUP(D586*Calculator!$B$8/3600/Calculator!$B$24-0.000000001,0),D586*Calculator!$B$8/3600/Calculator!$B$24))</f>
        <v/>
      </c>
      <c r="F586" s="16">
        <f>IF(A586="","",IF(Calculator!$B$16=1,Calculator!$B$27,A586)*Calculator!$B$5*Calculator!$B$15)</f>
        <v/>
      </c>
      <c r="G586" s="16">
        <f>IF(A586="","",E586*Calculator!$B$6+Calculator!$C$37+F586+Calculator!$B$30)</f>
        <v/>
      </c>
      <c r="H586" s="16">
        <f>IF(A586="","",Calculator!$B$40-G586)</f>
        <v/>
      </c>
      <c r="I586" s="17">
        <f>IF(A586="","",A586*Calculator!$B$5*Calculator!$B$8/3600)</f>
        <v/>
      </c>
      <c r="J586" s="12">
        <f>IF(A586="","",Calculator!$B$35-E586)</f>
        <v/>
      </c>
    </row>
    <row r="587">
      <c r="A587" s="15">
        <f>IF(585/1000&lt;=Calculator!$B$27+0.0000001,585/1000,"")</f>
        <v/>
      </c>
      <c r="B587" s="15">
        <f>IF(A587="","",A587/Calculator!$B$27)</f>
        <v/>
      </c>
      <c r="C587" s="15">
        <f>IF(A587="","",Calculator!$B$27-A587)</f>
        <v/>
      </c>
      <c r="D587" s="17">
        <f>IF(A587="","",(Calculator!$B$11+C587)*Calculator!$B$5)</f>
        <v/>
      </c>
      <c r="E587" s="12">
        <f>IF(A587="","",IF(Calculator!$B$17=1,ROUNDUP(D587*Calculator!$B$8/3600/Calculator!$B$24-0.000000001,0),D587*Calculator!$B$8/3600/Calculator!$B$24))</f>
        <v/>
      </c>
      <c r="F587" s="16">
        <f>IF(A587="","",IF(Calculator!$B$16=1,Calculator!$B$27,A587)*Calculator!$B$5*Calculator!$B$15)</f>
        <v/>
      </c>
      <c r="G587" s="16">
        <f>IF(A587="","",E587*Calculator!$B$6+Calculator!$C$37+F587+Calculator!$B$30)</f>
        <v/>
      </c>
      <c r="H587" s="16">
        <f>IF(A587="","",Calculator!$B$40-G587)</f>
        <v/>
      </c>
      <c r="I587" s="17">
        <f>IF(A587="","",A587*Calculator!$B$5*Calculator!$B$8/3600)</f>
        <v/>
      </c>
      <c r="J587" s="12">
        <f>IF(A587="","",Calculator!$B$35-E587)</f>
        <v/>
      </c>
    </row>
    <row r="588">
      <c r="A588" s="15">
        <f>IF(586/1000&lt;=Calculator!$B$27+0.0000001,586/1000,"")</f>
        <v/>
      </c>
      <c r="B588" s="15">
        <f>IF(A588="","",A588/Calculator!$B$27)</f>
        <v/>
      </c>
      <c r="C588" s="15">
        <f>IF(A588="","",Calculator!$B$27-A588)</f>
        <v/>
      </c>
      <c r="D588" s="17">
        <f>IF(A588="","",(Calculator!$B$11+C588)*Calculator!$B$5)</f>
        <v/>
      </c>
      <c r="E588" s="12">
        <f>IF(A588="","",IF(Calculator!$B$17=1,ROUNDUP(D588*Calculator!$B$8/3600/Calculator!$B$24-0.000000001,0),D588*Calculator!$B$8/3600/Calculator!$B$24))</f>
        <v/>
      </c>
      <c r="F588" s="16">
        <f>IF(A588="","",IF(Calculator!$B$16=1,Calculator!$B$27,A588)*Calculator!$B$5*Calculator!$B$15)</f>
        <v/>
      </c>
      <c r="G588" s="16">
        <f>IF(A588="","",E588*Calculator!$B$6+Calculator!$C$37+F588+Calculator!$B$30)</f>
        <v/>
      </c>
      <c r="H588" s="16">
        <f>IF(A588="","",Calculator!$B$40-G588)</f>
        <v/>
      </c>
      <c r="I588" s="17">
        <f>IF(A588="","",A588*Calculator!$B$5*Calculator!$B$8/3600)</f>
        <v/>
      </c>
      <c r="J588" s="12">
        <f>IF(A588="","",Calculator!$B$35-E588)</f>
        <v/>
      </c>
    </row>
    <row r="589">
      <c r="A589" s="15">
        <f>IF(587/1000&lt;=Calculator!$B$27+0.0000001,587/1000,"")</f>
        <v/>
      </c>
      <c r="B589" s="15">
        <f>IF(A589="","",A589/Calculator!$B$27)</f>
        <v/>
      </c>
      <c r="C589" s="15">
        <f>IF(A589="","",Calculator!$B$27-A589)</f>
        <v/>
      </c>
      <c r="D589" s="17">
        <f>IF(A589="","",(Calculator!$B$11+C589)*Calculator!$B$5)</f>
        <v/>
      </c>
      <c r="E589" s="12">
        <f>IF(A589="","",IF(Calculator!$B$17=1,ROUNDUP(D589*Calculator!$B$8/3600/Calculator!$B$24-0.000000001,0),D589*Calculator!$B$8/3600/Calculator!$B$24))</f>
        <v/>
      </c>
      <c r="F589" s="16">
        <f>IF(A589="","",IF(Calculator!$B$16=1,Calculator!$B$27,A589)*Calculator!$B$5*Calculator!$B$15)</f>
        <v/>
      </c>
      <c r="G589" s="16">
        <f>IF(A589="","",E589*Calculator!$B$6+Calculator!$C$37+F589+Calculator!$B$30)</f>
        <v/>
      </c>
      <c r="H589" s="16">
        <f>IF(A589="","",Calculator!$B$40-G589)</f>
        <v/>
      </c>
      <c r="I589" s="17">
        <f>IF(A589="","",A589*Calculator!$B$5*Calculator!$B$8/3600)</f>
        <v/>
      </c>
      <c r="J589" s="12">
        <f>IF(A589="","",Calculator!$B$35-E589)</f>
        <v/>
      </c>
    </row>
    <row r="590">
      <c r="A590" s="15">
        <f>IF(588/1000&lt;=Calculator!$B$27+0.0000001,588/1000,"")</f>
        <v/>
      </c>
      <c r="B590" s="15">
        <f>IF(A590="","",A590/Calculator!$B$27)</f>
        <v/>
      </c>
      <c r="C590" s="15">
        <f>IF(A590="","",Calculator!$B$27-A590)</f>
        <v/>
      </c>
      <c r="D590" s="17">
        <f>IF(A590="","",(Calculator!$B$11+C590)*Calculator!$B$5)</f>
        <v/>
      </c>
      <c r="E590" s="12">
        <f>IF(A590="","",IF(Calculator!$B$17=1,ROUNDUP(D590*Calculator!$B$8/3600/Calculator!$B$24-0.000000001,0),D590*Calculator!$B$8/3600/Calculator!$B$24))</f>
        <v/>
      </c>
      <c r="F590" s="16">
        <f>IF(A590="","",IF(Calculator!$B$16=1,Calculator!$B$27,A590)*Calculator!$B$5*Calculator!$B$15)</f>
        <v/>
      </c>
      <c r="G590" s="16">
        <f>IF(A590="","",E590*Calculator!$B$6+Calculator!$C$37+F590+Calculator!$B$30)</f>
        <v/>
      </c>
      <c r="H590" s="16">
        <f>IF(A590="","",Calculator!$B$40-G590)</f>
        <v/>
      </c>
      <c r="I590" s="17">
        <f>IF(A590="","",A590*Calculator!$B$5*Calculator!$B$8/3600)</f>
        <v/>
      </c>
      <c r="J590" s="12">
        <f>IF(A590="","",Calculator!$B$35-E590)</f>
        <v/>
      </c>
    </row>
    <row r="591">
      <c r="A591" s="15">
        <f>IF(589/1000&lt;=Calculator!$B$27+0.0000001,589/1000,"")</f>
        <v/>
      </c>
      <c r="B591" s="15">
        <f>IF(A591="","",A591/Calculator!$B$27)</f>
        <v/>
      </c>
      <c r="C591" s="15">
        <f>IF(A591="","",Calculator!$B$27-A591)</f>
        <v/>
      </c>
      <c r="D591" s="17">
        <f>IF(A591="","",(Calculator!$B$11+C591)*Calculator!$B$5)</f>
        <v/>
      </c>
      <c r="E591" s="12">
        <f>IF(A591="","",IF(Calculator!$B$17=1,ROUNDUP(D591*Calculator!$B$8/3600/Calculator!$B$24-0.000000001,0),D591*Calculator!$B$8/3600/Calculator!$B$24))</f>
        <v/>
      </c>
      <c r="F591" s="16">
        <f>IF(A591="","",IF(Calculator!$B$16=1,Calculator!$B$27,A591)*Calculator!$B$5*Calculator!$B$15)</f>
        <v/>
      </c>
      <c r="G591" s="16">
        <f>IF(A591="","",E591*Calculator!$B$6+Calculator!$C$37+F591+Calculator!$B$30)</f>
        <v/>
      </c>
      <c r="H591" s="16">
        <f>IF(A591="","",Calculator!$B$40-G591)</f>
        <v/>
      </c>
      <c r="I591" s="17">
        <f>IF(A591="","",A591*Calculator!$B$5*Calculator!$B$8/3600)</f>
        <v/>
      </c>
      <c r="J591" s="12">
        <f>IF(A591="","",Calculator!$B$35-E591)</f>
        <v/>
      </c>
    </row>
    <row r="592">
      <c r="A592" s="15">
        <f>IF(590/1000&lt;=Calculator!$B$27+0.0000001,590/1000,"")</f>
        <v/>
      </c>
      <c r="B592" s="15">
        <f>IF(A592="","",A592/Calculator!$B$27)</f>
        <v/>
      </c>
      <c r="C592" s="15">
        <f>IF(A592="","",Calculator!$B$27-A592)</f>
        <v/>
      </c>
      <c r="D592" s="17">
        <f>IF(A592="","",(Calculator!$B$11+C592)*Calculator!$B$5)</f>
        <v/>
      </c>
      <c r="E592" s="12">
        <f>IF(A592="","",IF(Calculator!$B$17=1,ROUNDUP(D592*Calculator!$B$8/3600/Calculator!$B$24-0.000000001,0),D592*Calculator!$B$8/3600/Calculator!$B$24))</f>
        <v/>
      </c>
      <c r="F592" s="16">
        <f>IF(A592="","",IF(Calculator!$B$16=1,Calculator!$B$27,A592)*Calculator!$B$5*Calculator!$B$15)</f>
        <v/>
      </c>
      <c r="G592" s="16">
        <f>IF(A592="","",E592*Calculator!$B$6+Calculator!$C$37+F592+Calculator!$B$30)</f>
        <v/>
      </c>
      <c r="H592" s="16">
        <f>IF(A592="","",Calculator!$B$40-G592)</f>
        <v/>
      </c>
      <c r="I592" s="17">
        <f>IF(A592="","",A592*Calculator!$B$5*Calculator!$B$8/3600)</f>
        <v/>
      </c>
      <c r="J592" s="12">
        <f>IF(A592="","",Calculator!$B$35-E592)</f>
        <v/>
      </c>
    </row>
    <row r="593">
      <c r="A593" s="15">
        <f>IF(591/1000&lt;=Calculator!$B$27+0.0000001,591/1000,"")</f>
        <v/>
      </c>
      <c r="B593" s="15">
        <f>IF(A593="","",A593/Calculator!$B$27)</f>
        <v/>
      </c>
      <c r="C593" s="15">
        <f>IF(A593="","",Calculator!$B$27-A593)</f>
        <v/>
      </c>
      <c r="D593" s="17">
        <f>IF(A593="","",(Calculator!$B$11+C593)*Calculator!$B$5)</f>
        <v/>
      </c>
      <c r="E593" s="12">
        <f>IF(A593="","",IF(Calculator!$B$17=1,ROUNDUP(D593*Calculator!$B$8/3600/Calculator!$B$24-0.000000001,0),D593*Calculator!$B$8/3600/Calculator!$B$24))</f>
        <v/>
      </c>
      <c r="F593" s="16">
        <f>IF(A593="","",IF(Calculator!$B$16=1,Calculator!$B$27,A593)*Calculator!$B$5*Calculator!$B$15)</f>
        <v/>
      </c>
      <c r="G593" s="16">
        <f>IF(A593="","",E593*Calculator!$B$6+Calculator!$C$37+F593+Calculator!$B$30)</f>
        <v/>
      </c>
      <c r="H593" s="16">
        <f>IF(A593="","",Calculator!$B$40-G593)</f>
        <v/>
      </c>
      <c r="I593" s="17">
        <f>IF(A593="","",A593*Calculator!$B$5*Calculator!$B$8/3600)</f>
        <v/>
      </c>
      <c r="J593" s="12">
        <f>IF(A593="","",Calculator!$B$35-E593)</f>
        <v/>
      </c>
    </row>
    <row r="594">
      <c r="A594" s="15">
        <f>IF(592/1000&lt;=Calculator!$B$27+0.0000001,592/1000,"")</f>
        <v/>
      </c>
      <c r="B594" s="15">
        <f>IF(A594="","",A594/Calculator!$B$27)</f>
        <v/>
      </c>
      <c r="C594" s="15">
        <f>IF(A594="","",Calculator!$B$27-A594)</f>
        <v/>
      </c>
      <c r="D594" s="17">
        <f>IF(A594="","",(Calculator!$B$11+C594)*Calculator!$B$5)</f>
        <v/>
      </c>
      <c r="E594" s="12">
        <f>IF(A594="","",IF(Calculator!$B$17=1,ROUNDUP(D594*Calculator!$B$8/3600/Calculator!$B$24-0.000000001,0),D594*Calculator!$B$8/3600/Calculator!$B$24))</f>
        <v/>
      </c>
      <c r="F594" s="16">
        <f>IF(A594="","",IF(Calculator!$B$16=1,Calculator!$B$27,A594)*Calculator!$B$5*Calculator!$B$15)</f>
        <v/>
      </c>
      <c r="G594" s="16">
        <f>IF(A594="","",E594*Calculator!$B$6+Calculator!$C$37+F594+Calculator!$B$30)</f>
        <v/>
      </c>
      <c r="H594" s="16">
        <f>IF(A594="","",Calculator!$B$40-G594)</f>
        <v/>
      </c>
      <c r="I594" s="17">
        <f>IF(A594="","",A594*Calculator!$B$5*Calculator!$B$8/3600)</f>
        <v/>
      </c>
      <c r="J594" s="12">
        <f>IF(A594="","",Calculator!$B$35-E594)</f>
        <v/>
      </c>
    </row>
    <row r="595">
      <c r="A595" s="15">
        <f>IF(593/1000&lt;=Calculator!$B$27+0.0000001,593/1000,"")</f>
        <v/>
      </c>
      <c r="B595" s="15">
        <f>IF(A595="","",A595/Calculator!$B$27)</f>
        <v/>
      </c>
      <c r="C595" s="15">
        <f>IF(A595="","",Calculator!$B$27-A595)</f>
        <v/>
      </c>
      <c r="D595" s="17">
        <f>IF(A595="","",(Calculator!$B$11+C595)*Calculator!$B$5)</f>
        <v/>
      </c>
      <c r="E595" s="12">
        <f>IF(A595="","",IF(Calculator!$B$17=1,ROUNDUP(D595*Calculator!$B$8/3600/Calculator!$B$24-0.000000001,0),D595*Calculator!$B$8/3600/Calculator!$B$24))</f>
        <v/>
      </c>
      <c r="F595" s="16">
        <f>IF(A595="","",IF(Calculator!$B$16=1,Calculator!$B$27,A595)*Calculator!$B$5*Calculator!$B$15)</f>
        <v/>
      </c>
      <c r="G595" s="16">
        <f>IF(A595="","",E595*Calculator!$B$6+Calculator!$C$37+F595+Calculator!$B$30)</f>
        <v/>
      </c>
      <c r="H595" s="16">
        <f>IF(A595="","",Calculator!$B$40-G595)</f>
        <v/>
      </c>
      <c r="I595" s="17">
        <f>IF(A595="","",A595*Calculator!$B$5*Calculator!$B$8/3600)</f>
        <v/>
      </c>
      <c r="J595" s="12">
        <f>IF(A595="","",Calculator!$B$35-E595)</f>
        <v/>
      </c>
    </row>
    <row r="596">
      <c r="A596" s="15">
        <f>IF(594/1000&lt;=Calculator!$B$27+0.0000001,594/1000,"")</f>
        <v/>
      </c>
      <c r="B596" s="15">
        <f>IF(A596="","",A596/Calculator!$B$27)</f>
        <v/>
      </c>
      <c r="C596" s="15">
        <f>IF(A596="","",Calculator!$B$27-A596)</f>
        <v/>
      </c>
      <c r="D596" s="17">
        <f>IF(A596="","",(Calculator!$B$11+C596)*Calculator!$B$5)</f>
        <v/>
      </c>
      <c r="E596" s="12">
        <f>IF(A596="","",IF(Calculator!$B$17=1,ROUNDUP(D596*Calculator!$B$8/3600/Calculator!$B$24-0.000000001,0),D596*Calculator!$B$8/3600/Calculator!$B$24))</f>
        <v/>
      </c>
      <c r="F596" s="16">
        <f>IF(A596="","",IF(Calculator!$B$16=1,Calculator!$B$27,A596)*Calculator!$B$5*Calculator!$B$15)</f>
        <v/>
      </c>
      <c r="G596" s="16">
        <f>IF(A596="","",E596*Calculator!$B$6+Calculator!$C$37+F596+Calculator!$B$30)</f>
        <v/>
      </c>
      <c r="H596" s="16">
        <f>IF(A596="","",Calculator!$B$40-G596)</f>
        <v/>
      </c>
      <c r="I596" s="17">
        <f>IF(A596="","",A596*Calculator!$B$5*Calculator!$B$8/3600)</f>
        <v/>
      </c>
      <c r="J596" s="12">
        <f>IF(A596="","",Calculator!$B$35-E596)</f>
        <v/>
      </c>
    </row>
    <row r="597">
      <c r="A597" s="15">
        <f>IF(595/1000&lt;=Calculator!$B$27+0.0000001,595/1000,"")</f>
        <v/>
      </c>
      <c r="B597" s="15">
        <f>IF(A597="","",A597/Calculator!$B$27)</f>
        <v/>
      </c>
      <c r="C597" s="15">
        <f>IF(A597="","",Calculator!$B$27-A597)</f>
        <v/>
      </c>
      <c r="D597" s="17">
        <f>IF(A597="","",(Calculator!$B$11+C597)*Calculator!$B$5)</f>
        <v/>
      </c>
      <c r="E597" s="12">
        <f>IF(A597="","",IF(Calculator!$B$17=1,ROUNDUP(D597*Calculator!$B$8/3600/Calculator!$B$24-0.000000001,0),D597*Calculator!$B$8/3600/Calculator!$B$24))</f>
        <v/>
      </c>
      <c r="F597" s="16">
        <f>IF(A597="","",IF(Calculator!$B$16=1,Calculator!$B$27,A597)*Calculator!$B$5*Calculator!$B$15)</f>
        <v/>
      </c>
      <c r="G597" s="16">
        <f>IF(A597="","",E597*Calculator!$B$6+Calculator!$C$37+F597+Calculator!$B$30)</f>
        <v/>
      </c>
      <c r="H597" s="16">
        <f>IF(A597="","",Calculator!$B$40-G597)</f>
        <v/>
      </c>
      <c r="I597" s="17">
        <f>IF(A597="","",A597*Calculator!$B$5*Calculator!$B$8/3600)</f>
        <v/>
      </c>
      <c r="J597" s="12">
        <f>IF(A597="","",Calculator!$B$35-E597)</f>
        <v/>
      </c>
    </row>
    <row r="598">
      <c r="A598" s="15">
        <f>IF(596/1000&lt;=Calculator!$B$27+0.0000001,596/1000,"")</f>
        <v/>
      </c>
      <c r="B598" s="15">
        <f>IF(A598="","",A598/Calculator!$B$27)</f>
        <v/>
      </c>
      <c r="C598" s="15">
        <f>IF(A598="","",Calculator!$B$27-A598)</f>
        <v/>
      </c>
      <c r="D598" s="17">
        <f>IF(A598="","",(Calculator!$B$11+C598)*Calculator!$B$5)</f>
        <v/>
      </c>
      <c r="E598" s="12">
        <f>IF(A598="","",IF(Calculator!$B$17=1,ROUNDUP(D598*Calculator!$B$8/3600/Calculator!$B$24-0.000000001,0),D598*Calculator!$B$8/3600/Calculator!$B$24))</f>
        <v/>
      </c>
      <c r="F598" s="16">
        <f>IF(A598="","",IF(Calculator!$B$16=1,Calculator!$B$27,A598)*Calculator!$B$5*Calculator!$B$15)</f>
        <v/>
      </c>
      <c r="G598" s="16">
        <f>IF(A598="","",E598*Calculator!$B$6+Calculator!$C$37+F598+Calculator!$B$30)</f>
        <v/>
      </c>
      <c r="H598" s="16">
        <f>IF(A598="","",Calculator!$B$40-G598)</f>
        <v/>
      </c>
      <c r="I598" s="17">
        <f>IF(A598="","",A598*Calculator!$B$5*Calculator!$B$8/3600)</f>
        <v/>
      </c>
      <c r="J598" s="12">
        <f>IF(A598="","",Calculator!$B$35-E598)</f>
        <v/>
      </c>
    </row>
    <row r="599">
      <c r="A599" s="15">
        <f>IF(597/1000&lt;=Calculator!$B$27+0.0000001,597/1000,"")</f>
        <v/>
      </c>
      <c r="B599" s="15">
        <f>IF(A599="","",A599/Calculator!$B$27)</f>
        <v/>
      </c>
      <c r="C599" s="15">
        <f>IF(A599="","",Calculator!$B$27-A599)</f>
        <v/>
      </c>
      <c r="D599" s="17">
        <f>IF(A599="","",(Calculator!$B$11+C599)*Calculator!$B$5)</f>
        <v/>
      </c>
      <c r="E599" s="12">
        <f>IF(A599="","",IF(Calculator!$B$17=1,ROUNDUP(D599*Calculator!$B$8/3600/Calculator!$B$24-0.000000001,0),D599*Calculator!$B$8/3600/Calculator!$B$24))</f>
        <v/>
      </c>
      <c r="F599" s="16">
        <f>IF(A599="","",IF(Calculator!$B$16=1,Calculator!$B$27,A599)*Calculator!$B$5*Calculator!$B$15)</f>
        <v/>
      </c>
      <c r="G599" s="16">
        <f>IF(A599="","",E599*Calculator!$B$6+Calculator!$C$37+F599+Calculator!$B$30)</f>
        <v/>
      </c>
      <c r="H599" s="16">
        <f>IF(A599="","",Calculator!$B$40-G599)</f>
        <v/>
      </c>
      <c r="I599" s="17">
        <f>IF(A599="","",A599*Calculator!$B$5*Calculator!$B$8/3600)</f>
        <v/>
      </c>
      <c r="J599" s="12">
        <f>IF(A599="","",Calculator!$B$35-E599)</f>
        <v/>
      </c>
    </row>
    <row r="600">
      <c r="A600" s="15">
        <f>IF(598/1000&lt;=Calculator!$B$27+0.0000001,598/1000,"")</f>
        <v/>
      </c>
      <c r="B600" s="15">
        <f>IF(A600="","",A600/Calculator!$B$27)</f>
        <v/>
      </c>
      <c r="C600" s="15">
        <f>IF(A600="","",Calculator!$B$27-A600)</f>
        <v/>
      </c>
      <c r="D600" s="17">
        <f>IF(A600="","",(Calculator!$B$11+C600)*Calculator!$B$5)</f>
        <v/>
      </c>
      <c r="E600" s="12">
        <f>IF(A600="","",IF(Calculator!$B$17=1,ROUNDUP(D600*Calculator!$B$8/3600/Calculator!$B$24-0.000000001,0),D600*Calculator!$B$8/3600/Calculator!$B$24))</f>
        <v/>
      </c>
      <c r="F600" s="16">
        <f>IF(A600="","",IF(Calculator!$B$16=1,Calculator!$B$27,A600)*Calculator!$B$5*Calculator!$B$15)</f>
        <v/>
      </c>
      <c r="G600" s="16">
        <f>IF(A600="","",E600*Calculator!$B$6+Calculator!$C$37+F600+Calculator!$B$30)</f>
        <v/>
      </c>
      <c r="H600" s="16">
        <f>IF(A600="","",Calculator!$B$40-G600)</f>
        <v/>
      </c>
      <c r="I600" s="17">
        <f>IF(A600="","",A600*Calculator!$B$5*Calculator!$B$8/3600)</f>
        <v/>
      </c>
      <c r="J600" s="12">
        <f>IF(A600="","",Calculator!$B$35-E600)</f>
        <v/>
      </c>
    </row>
    <row r="601">
      <c r="A601" s="15">
        <f>IF(599/1000&lt;=Calculator!$B$27+0.0000001,599/1000,"")</f>
        <v/>
      </c>
      <c r="B601" s="15">
        <f>IF(A601="","",A601/Calculator!$B$27)</f>
        <v/>
      </c>
      <c r="C601" s="15">
        <f>IF(A601="","",Calculator!$B$27-A601)</f>
        <v/>
      </c>
      <c r="D601" s="17">
        <f>IF(A601="","",(Calculator!$B$11+C601)*Calculator!$B$5)</f>
        <v/>
      </c>
      <c r="E601" s="12">
        <f>IF(A601="","",IF(Calculator!$B$17=1,ROUNDUP(D601*Calculator!$B$8/3600/Calculator!$B$24-0.000000001,0),D601*Calculator!$B$8/3600/Calculator!$B$24))</f>
        <v/>
      </c>
      <c r="F601" s="16">
        <f>IF(A601="","",IF(Calculator!$B$16=1,Calculator!$B$27,A601)*Calculator!$B$5*Calculator!$B$15)</f>
        <v/>
      </c>
      <c r="G601" s="16">
        <f>IF(A601="","",E601*Calculator!$B$6+Calculator!$C$37+F601+Calculator!$B$30)</f>
        <v/>
      </c>
      <c r="H601" s="16">
        <f>IF(A601="","",Calculator!$B$40-G601)</f>
        <v/>
      </c>
      <c r="I601" s="17">
        <f>IF(A601="","",A601*Calculator!$B$5*Calculator!$B$8/3600)</f>
        <v/>
      </c>
      <c r="J601" s="12">
        <f>IF(A601="","",Calculator!$B$35-E601)</f>
        <v/>
      </c>
    </row>
    <row r="602">
      <c r="A602" s="15">
        <f>IF(600/1000&lt;=Calculator!$B$27+0.0000001,600/1000,"")</f>
        <v/>
      </c>
      <c r="B602" s="15">
        <f>IF(A602="","",A602/Calculator!$B$27)</f>
        <v/>
      </c>
      <c r="C602" s="15">
        <f>IF(A602="","",Calculator!$B$27-A602)</f>
        <v/>
      </c>
      <c r="D602" s="17">
        <f>IF(A602="","",(Calculator!$B$11+C602)*Calculator!$B$5)</f>
        <v/>
      </c>
      <c r="E602" s="12">
        <f>IF(A602="","",IF(Calculator!$B$17=1,ROUNDUP(D602*Calculator!$B$8/3600/Calculator!$B$24-0.000000001,0),D602*Calculator!$B$8/3600/Calculator!$B$24))</f>
        <v/>
      </c>
      <c r="F602" s="16">
        <f>IF(A602="","",IF(Calculator!$B$16=1,Calculator!$B$27,A602)*Calculator!$B$5*Calculator!$B$15)</f>
        <v/>
      </c>
      <c r="G602" s="16">
        <f>IF(A602="","",E602*Calculator!$B$6+Calculator!$C$37+F602+Calculator!$B$30)</f>
        <v/>
      </c>
      <c r="H602" s="16">
        <f>IF(A602="","",Calculator!$B$40-G602)</f>
        <v/>
      </c>
      <c r="I602" s="17">
        <f>IF(A602="","",A602*Calculator!$B$5*Calculator!$B$8/3600)</f>
        <v/>
      </c>
      <c r="J602" s="12">
        <f>IF(A602="","",Calculator!$B$35-E602)</f>
        <v/>
      </c>
    </row>
    <row r="603">
      <c r="A603" s="15">
        <f>IF(601/1000&lt;=Calculator!$B$27+0.0000001,601/1000,"")</f>
        <v/>
      </c>
      <c r="B603" s="15">
        <f>IF(A603="","",A603/Calculator!$B$27)</f>
        <v/>
      </c>
      <c r="C603" s="15">
        <f>IF(A603="","",Calculator!$B$27-A603)</f>
        <v/>
      </c>
      <c r="D603" s="17">
        <f>IF(A603="","",(Calculator!$B$11+C603)*Calculator!$B$5)</f>
        <v/>
      </c>
      <c r="E603" s="12">
        <f>IF(A603="","",IF(Calculator!$B$17=1,ROUNDUP(D603*Calculator!$B$8/3600/Calculator!$B$24-0.000000001,0),D603*Calculator!$B$8/3600/Calculator!$B$24))</f>
        <v/>
      </c>
      <c r="F603" s="16">
        <f>IF(A603="","",IF(Calculator!$B$16=1,Calculator!$B$27,A603)*Calculator!$B$5*Calculator!$B$15)</f>
        <v/>
      </c>
      <c r="G603" s="16">
        <f>IF(A603="","",E603*Calculator!$B$6+Calculator!$C$37+F603+Calculator!$B$30)</f>
        <v/>
      </c>
      <c r="H603" s="16">
        <f>IF(A603="","",Calculator!$B$40-G603)</f>
        <v/>
      </c>
      <c r="I603" s="17">
        <f>IF(A603="","",A603*Calculator!$B$5*Calculator!$B$8/3600)</f>
        <v/>
      </c>
      <c r="J603" s="12">
        <f>IF(A603="","",Calculator!$B$35-E603)</f>
        <v/>
      </c>
    </row>
    <row r="604">
      <c r="A604" s="15">
        <f>IF(602/1000&lt;=Calculator!$B$27+0.0000001,602/1000,"")</f>
        <v/>
      </c>
      <c r="B604" s="15">
        <f>IF(A604="","",A604/Calculator!$B$27)</f>
        <v/>
      </c>
      <c r="C604" s="15">
        <f>IF(A604="","",Calculator!$B$27-A604)</f>
        <v/>
      </c>
      <c r="D604" s="17">
        <f>IF(A604="","",(Calculator!$B$11+C604)*Calculator!$B$5)</f>
        <v/>
      </c>
      <c r="E604" s="12">
        <f>IF(A604="","",IF(Calculator!$B$17=1,ROUNDUP(D604*Calculator!$B$8/3600/Calculator!$B$24-0.000000001,0),D604*Calculator!$B$8/3600/Calculator!$B$24))</f>
        <v/>
      </c>
      <c r="F604" s="16">
        <f>IF(A604="","",IF(Calculator!$B$16=1,Calculator!$B$27,A604)*Calculator!$B$5*Calculator!$B$15)</f>
        <v/>
      </c>
      <c r="G604" s="16">
        <f>IF(A604="","",E604*Calculator!$B$6+Calculator!$C$37+F604+Calculator!$B$30)</f>
        <v/>
      </c>
      <c r="H604" s="16">
        <f>IF(A604="","",Calculator!$B$40-G604)</f>
        <v/>
      </c>
      <c r="I604" s="17">
        <f>IF(A604="","",A604*Calculator!$B$5*Calculator!$B$8/3600)</f>
        <v/>
      </c>
      <c r="J604" s="12">
        <f>IF(A604="","",Calculator!$B$35-E604)</f>
        <v/>
      </c>
    </row>
    <row r="605">
      <c r="A605" s="15">
        <f>IF(603/1000&lt;=Calculator!$B$27+0.0000001,603/1000,"")</f>
        <v/>
      </c>
      <c r="B605" s="15">
        <f>IF(A605="","",A605/Calculator!$B$27)</f>
        <v/>
      </c>
      <c r="C605" s="15">
        <f>IF(A605="","",Calculator!$B$27-A605)</f>
        <v/>
      </c>
      <c r="D605" s="17">
        <f>IF(A605="","",(Calculator!$B$11+C605)*Calculator!$B$5)</f>
        <v/>
      </c>
      <c r="E605" s="12">
        <f>IF(A605="","",IF(Calculator!$B$17=1,ROUNDUP(D605*Calculator!$B$8/3600/Calculator!$B$24-0.000000001,0),D605*Calculator!$B$8/3600/Calculator!$B$24))</f>
        <v/>
      </c>
      <c r="F605" s="16">
        <f>IF(A605="","",IF(Calculator!$B$16=1,Calculator!$B$27,A605)*Calculator!$B$5*Calculator!$B$15)</f>
        <v/>
      </c>
      <c r="G605" s="16">
        <f>IF(A605="","",E605*Calculator!$B$6+Calculator!$C$37+F605+Calculator!$B$30)</f>
        <v/>
      </c>
      <c r="H605" s="16">
        <f>IF(A605="","",Calculator!$B$40-G605)</f>
        <v/>
      </c>
      <c r="I605" s="17">
        <f>IF(A605="","",A605*Calculator!$B$5*Calculator!$B$8/3600)</f>
        <v/>
      </c>
      <c r="J605" s="12">
        <f>IF(A605="","",Calculator!$B$35-E605)</f>
        <v/>
      </c>
    </row>
    <row r="606">
      <c r="A606" s="15">
        <f>IF(604/1000&lt;=Calculator!$B$27+0.0000001,604/1000,"")</f>
        <v/>
      </c>
      <c r="B606" s="15">
        <f>IF(A606="","",A606/Calculator!$B$27)</f>
        <v/>
      </c>
      <c r="C606" s="15">
        <f>IF(A606="","",Calculator!$B$27-A606)</f>
        <v/>
      </c>
      <c r="D606" s="17">
        <f>IF(A606="","",(Calculator!$B$11+C606)*Calculator!$B$5)</f>
        <v/>
      </c>
      <c r="E606" s="12">
        <f>IF(A606="","",IF(Calculator!$B$17=1,ROUNDUP(D606*Calculator!$B$8/3600/Calculator!$B$24-0.000000001,0),D606*Calculator!$B$8/3600/Calculator!$B$24))</f>
        <v/>
      </c>
      <c r="F606" s="16">
        <f>IF(A606="","",IF(Calculator!$B$16=1,Calculator!$B$27,A606)*Calculator!$B$5*Calculator!$B$15)</f>
        <v/>
      </c>
      <c r="G606" s="16">
        <f>IF(A606="","",E606*Calculator!$B$6+Calculator!$C$37+F606+Calculator!$B$30)</f>
        <v/>
      </c>
      <c r="H606" s="16">
        <f>IF(A606="","",Calculator!$B$40-G606)</f>
        <v/>
      </c>
      <c r="I606" s="17">
        <f>IF(A606="","",A606*Calculator!$B$5*Calculator!$B$8/3600)</f>
        <v/>
      </c>
      <c r="J606" s="12">
        <f>IF(A606="","",Calculator!$B$35-E606)</f>
        <v/>
      </c>
    </row>
    <row r="607">
      <c r="A607" s="15">
        <f>IF(605/1000&lt;=Calculator!$B$27+0.0000001,605/1000,"")</f>
        <v/>
      </c>
      <c r="B607" s="15">
        <f>IF(A607="","",A607/Calculator!$B$27)</f>
        <v/>
      </c>
      <c r="C607" s="15">
        <f>IF(A607="","",Calculator!$B$27-A607)</f>
        <v/>
      </c>
      <c r="D607" s="17">
        <f>IF(A607="","",(Calculator!$B$11+C607)*Calculator!$B$5)</f>
        <v/>
      </c>
      <c r="E607" s="12">
        <f>IF(A607="","",IF(Calculator!$B$17=1,ROUNDUP(D607*Calculator!$B$8/3600/Calculator!$B$24-0.000000001,0),D607*Calculator!$B$8/3600/Calculator!$B$24))</f>
        <v/>
      </c>
      <c r="F607" s="16">
        <f>IF(A607="","",IF(Calculator!$B$16=1,Calculator!$B$27,A607)*Calculator!$B$5*Calculator!$B$15)</f>
        <v/>
      </c>
      <c r="G607" s="16">
        <f>IF(A607="","",E607*Calculator!$B$6+Calculator!$C$37+F607+Calculator!$B$30)</f>
        <v/>
      </c>
      <c r="H607" s="16">
        <f>IF(A607="","",Calculator!$B$40-G607)</f>
        <v/>
      </c>
      <c r="I607" s="17">
        <f>IF(A607="","",A607*Calculator!$B$5*Calculator!$B$8/3600)</f>
        <v/>
      </c>
      <c r="J607" s="12">
        <f>IF(A607="","",Calculator!$B$35-E607)</f>
        <v/>
      </c>
    </row>
    <row r="608">
      <c r="A608" s="15">
        <f>IF(606/1000&lt;=Calculator!$B$27+0.0000001,606/1000,"")</f>
        <v/>
      </c>
      <c r="B608" s="15">
        <f>IF(A608="","",A608/Calculator!$B$27)</f>
        <v/>
      </c>
      <c r="C608" s="15">
        <f>IF(A608="","",Calculator!$B$27-A608)</f>
        <v/>
      </c>
      <c r="D608" s="17">
        <f>IF(A608="","",(Calculator!$B$11+C608)*Calculator!$B$5)</f>
        <v/>
      </c>
      <c r="E608" s="12">
        <f>IF(A608="","",IF(Calculator!$B$17=1,ROUNDUP(D608*Calculator!$B$8/3600/Calculator!$B$24-0.000000001,0),D608*Calculator!$B$8/3600/Calculator!$B$24))</f>
        <v/>
      </c>
      <c r="F608" s="16">
        <f>IF(A608="","",IF(Calculator!$B$16=1,Calculator!$B$27,A608)*Calculator!$B$5*Calculator!$B$15)</f>
        <v/>
      </c>
      <c r="G608" s="16">
        <f>IF(A608="","",E608*Calculator!$B$6+Calculator!$C$37+F608+Calculator!$B$30)</f>
        <v/>
      </c>
      <c r="H608" s="16">
        <f>IF(A608="","",Calculator!$B$40-G608)</f>
        <v/>
      </c>
      <c r="I608" s="17">
        <f>IF(A608="","",A608*Calculator!$B$5*Calculator!$B$8/3600)</f>
        <v/>
      </c>
      <c r="J608" s="12">
        <f>IF(A608="","",Calculator!$B$35-E608)</f>
        <v/>
      </c>
    </row>
    <row r="609">
      <c r="A609" s="15">
        <f>IF(607/1000&lt;=Calculator!$B$27+0.0000001,607/1000,"")</f>
        <v/>
      </c>
      <c r="B609" s="15">
        <f>IF(A609="","",A609/Calculator!$B$27)</f>
        <v/>
      </c>
      <c r="C609" s="15">
        <f>IF(A609="","",Calculator!$B$27-A609)</f>
        <v/>
      </c>
      <c r="D609" s="17">
        <f>IF(A609="","",(Calculator!$B$11+C609)*Calculator!$B$5)</f>
        <v/>
      </c>
      <c r="E609" s="12">
        <f>IF(A609="","",IF(Calculator!$B$17=1,ROUNDUP(D609*Calculator!$B$8/3600/Calculator!$B$24-0.000000001,0),D609*Calculator!$B$8/3600/Calculator!$B$24))</f>
        <v/>
      </c>
      <c r="F609" s="16">
        <f>IF(A609="","",IF(Calculator!$B$16=1,Calculator!$B$27,A609)*Calculator!$B$5*Calculator!$B$15)</f>
        <v/>
      </c>
      <c r="G609" s="16">
        <f>IF(A609="","",E609*Calculator!$B$6+Calculator!$C$37+F609+Calculator!$B$30)</f>
        <v/>
      </c>
      <c r="H609" s="16">
        <f>IF(A609="","",Calculator!$B$40-G609)</f>
        <v/>
      </c>
      <c r="I609" s="17">
        <f>IF(A609="","",A609*Calculator!$B$5*Calculator!$B$8/3600)</f>
        <v/>
      </c>
      <c r="J609" s="12">
        <f>IF(A609="","",Calculator!$B$35-E609)</f>
        <v/>
      </c>
    </row>
    <row r="610">
      <c r="A610" s="15">
        <f>IF(608/1000&lt;=Calculator!$B$27+0.0000001,608/1000,"")</f>
        <v/>
      </c>
      <c r="B610" s="15">
        <f>IF(A610="","",A610/Calculator!$B$27)</f>
        <v/>
      </c>
      <c r="C610" s="15">
        <f>IF(A610="","",Calculator!$B$27-A610)</f>
        <v/>
      </c>
      <c r="D610" s="17">
        <f>IF(A610="","",(Calculator!$B$11+C610)*Calculator!$B$5)</f>
        <v/>
      </c>
      <c r="E610" s="12">
        <f>IF(A610="","",IF(Calculator!$B$17=1,ROUNDUP(D610*Calculator!$B$8/3600/Calculator!$B$24-0.000000001,0),D610*Calculator!$B$8/3600/Calculator!$B$24))</f>
        <v/>
      </c>
      <c r="F610" s="16">
        <f>IF(A610="","",IF(Calculator!$B$16=1,Calculator!$B$27,A610)*Calculator!$B$5*Calculator!$B$15)</f>
        <v/>
      </c>
      <c r="G610" s="16">
        <f>IF(A610="","",E610*Calculator!$B$6+Calculator!$C$37+F610+Calculator!$B$30)</f>
        <v/>
      </c>
      <c r="H610" s="16">
        <f>IF(A610="","",Calculator!$B$40-G610)</f>
        <v/>
      </c>
      <c r="I610" s="17">
        <f>IF(A610="","",A610*Calculator!$B$5*Calculator!$B$8/3600)</f>
        <v/>
      </c>
      <c r="J610" s="12">
        <f>IF(A610="","",Calculator!$B$35-E610)</f>
        <v/>
      </c>
    </row>
    <row r="611">
      <c r="A611" s="15">
        <f>IF(609/1000&lt;=Calculator!$B$27+0.0000001,609/1000,"")</f>
        <v/>
      </c>
      <c r="B611" s="15">
        <f>IF(A611="","",A611/Calculator!$B$27)</f>
        <v/>
      </c>
      <c r="C611" s="15">
        <f>IF(A611="","",Calculator!$B$27-A611)</f>
        <v/>
      </c>
      <c r="D611" s="17">
        <f>IF(A611="","",(Calculator!$B$11+C611)*Calculator!$B$5)</f>
        <v/>
      </c>
      <c r="E611" s="12">
        <f>IF(A611="","",IF(Calculator!$B$17=1,ROUNDUP(D611*Calculator!$B$8/3600/Calculator!$B$24-0.000000001,0),D611*Calculator!$B$8/3600/Calculator!$B$24))</f>
        <v/>
      </c>
      <c r="F611" s="16">
        <f>IF(A611="","",IF(Calculator!$B$16=1,Calculator!$B$27,A611)*Calculator!$B$5*Calculator!$B$15)</f>
        <v/>
      </c>
      <c r="G611" s="16">
        <f>IF(A611="","",E611*Calculator!$B$6+Calculator!$C$37+F611+Calculator!$B$30)</f>
        <v/>
      </c>
      <c r="H611" s="16">
        <f>IF(A611="","",Calculator!$B$40-G611)</f>
        <v/>
      </c>
      <c r="I611" s="17">
        <f>IF(A611="","",A611*Calculator!$B$5*Calculator!$B$8/3600)</f>
        <v/>
      </c>
      <c r="J611" s="12">
        <f>IF(A611="","",Calculator!$B$35-E611)</f>
        <v/>
      </c>
    </row>
    <row r="612">
      <c r="A612" s="15">
        <f>IF(610/1000&lt;=Calculator!$B$27+0.0000001,610/1000,"")</f>
        <v/>
      </c>
      <c r="B612" s="15">
        <f>IF(A612="","",A612/Calculator!$B$27)</f>
        <v/>
      </c>
      <c r="C612" s="15">
        <f>IF(A612="","",Calculator!$B$27-A612)</f>
        <v/>
      </c>
      <c r="D612" s="17">
        <f>IF(A612="","",(Calculator!$B$11+C612)*Calculator!$B$5)</f>
        <v/>
      </c>
      <c r="E612" s="12">
        <f>IF(A612="","",IF(Calculator!$B$17=1,ROUNDUP(D612*Calculator!$B$8/3600/Calculator!$B$24-0.000000001,0),D612*Calculator!$B$8/3600/Calculator!$B$24))</f>
        <v/>
      </c>
      <c r="F612" s="16">
        <f>IF(A612="","",IF(Calculator!$B$16=1,Calculator!$B$27,A612)*Calculator!$B$5*Calculator!$B$15)</f>
        <v/>
      </c>
      <c r="G612" s="16">
        <f>IF(A612="","",E612*Calculator!$B$6+Calculator!$C$37+F612+Calculator!$B$30)</f>
        <v/>
      </c>
      <c r="H612" s="16">
        <f>IF(A612="","",Calculator!$B$40-G612)</f>
        <v/>
      </c>
      <c r="I612" s="17">
        <f>IF(A612="","",A612*Calculator!$B$5*Calculator!$B$8/3600)</f>
        <v/>
      </c>
      <c r="J612" s="12">
        <f>IF(A612="","",Calculator!$B$35-E612)</f>
        <v/>
      </c>
    </row>
    <row r="613">
      <c r="A613" s="15">
        <f>IF(611/1000&lt;=Calculator!$B$27+0.0000001,611/1000,"")</f>
        <v/>
      </c>
      <c r="B613" s="15">
        <f>IF(A613="","",A613/Calculator!$B$27)</f>
        <v/>
      </c>
      <c r="C613" s="15">
        <f>IF(A613="","",Calculator!$B$27-A613)</f>
        <v/>
      </c>
      <c r="D613" s="17">
        <f>IF(A613="","",(Calculator!$B$11+C613)*Calculator!$B$5)</f>
        <v/>
      </c>
      <c r="E613" s="12">
        <f>IF(A613="","",IF(Calculator!$B$17=1,ROUNDUP(D613*Calculator!$B$8/3600/Calculator!$B$24-0.000000001,0),D613*Calculator!$B$8/3600/Calculator!$B$24))</f>
        <v/>
      </c>
      <c r="F613" s="16">
        <f>IF(A613="","",IF(Calculator!$B$16=1,Calculator!$B$27,A613)*Calculator!$B$5*Calculator!$B$15)</f>
        <v/>
      </c>
      <c r="G613" s="16">
        <f>IF(A613="","",E613*Calculator!$B$6+Calculator!$C$37+F613+Calculator!$B$30)</f>
        <v/>
      </c>
      <c r="H613" s="16">
        <f>IF(A613="","",Calculator!$B$40-G613)</f>
        <v/>
      </c>
      <c r="I613" s="17">
        <f>IF(A613="","",A613*Calculator!$B$5*Calculator!$B$8/3600)</f>
        <v/>
      </c>
      <c r="J613" s="12">
        <f>IF(A613="","",Calculator!$B$35-E613)</f>
        <v/>
      </c>
    </row>
    <row r="614">
      <c r="A614" s="15">
        <f>IF(612/1000&lt;=Calculator!$B$27+0.0000001,612/1000,"")</f>
        <v/>
      </c>
      <c r="B614" s="15">
        <f>IF(A614="","",A614/Calculator!$B$27)</f>
        <v/>
      </c>
      <c r="C614" s="15">
        <f>IF(A614="","",Calculator!$B$27-A614)</f>
        <v/>
      </c>
      <c r="D614" s="17">
        <f>IF(A614="","",(Calculator!$B$11+C614)*Calculator!$B$5)</f>
        <v/>
      </c>
      <c r="E614" s="12">
        <f>IF(A614="","",IF(Calculator!$B$17=1,ROUNDUP(D614*Calculator!$B$8/3600/Calculator!$B$24-0.000000001,0),D614*Calculator!$B$8/3600/Calculator!$B$24))</f>
        <v/>
      </c>
      <c r="F614" s="16">
        <f>IF(A614="","",IF(Calculator!$B$16=1,Calculator!$B$27,A614)*Calculator!$B$5*Calculator!$B$15)</f>
        <v/>
      </c>
      <c r="G614" s="16">
        <f>IF(A614="","",E614*Calculator!$B$6+Calculator!$C$37+F614+Calculator!$B$30)</f>
        <v/>
      </c>
      <c r="H614" s="16">
        <f>IF(A614="","",Calculator!$B$40-G614)</f>
        <v/>
      </c>
      <c r="I614" s="17">
        <f>IF(A614="","",A614*Calculator!$B$5*Calculator!$B$8/3600)</f>
        <v/>
      </c>
      <c r="J614" s="12">
        <f>IF(A614="","",Calculator!$B$35-E614)</f>
        <v/>
      </c>
    </row>
    <row r="615">
      <c r="A615" s="15">
        <f>IF(613/1000&lt;=Calculator!$B$27+0.0000001,613/1000,"")</f>
        <v/>
      </c>
      <c r="B615" s="15">
        <f>IF(A615="","",A615/Calculator!$B$27)</f>
        <v/>
      </c>
      <c r="C615" s="15">
        <f>IF(A615="","",Calculator!$B$27-A615)</f>
        <v/>
      </c>
      <c r="D615" s="17">
        <f>IF(A615="","",(Calculator!$B$11+C615)*Calculator!$B$5)</f>
        <v/>
      </c>
      <c r="E615" s="12">
        <f>IF(A615="","",IF(Calculator!$B$17=1,ROUNDUP(D615*Calculator!$B$8/3600/Calculator!$B$24-0.000000001,0),D615*Calculator!$B$8/3600/Calculator!$B$24))</f>
        <v/>
      </c>
      <c r="F615" s="16">
        <f>IF(A615="","",IF(Calculator!$B$16=1,Calculator!$B$27,A615)*Calculator!$B$5*Calculator!$B$15)</f>
        <v/>
      </c>
      <c r="G615" s="16">
        <f>IF(A615="","",E615*Calculator!$B$6+Calculator!$C$37+F615+Calculator!$B$30)</f>
        <v/>
      </c>
      <c r="H615" s="16">
        <f>IF(A615="","",Calculator!$B$40-G615)</f>
        <v/>
      </c>
      <c r="I615" s="17">
        <f>IF(A615="","",A615*Calculator!$B$5*Calculator!$B$8/3600)</f>
        <v/>
      </c>
      <c r="J615" s="12">
        <f>IF(A615="","",Calculator!$B$35-E615)</f>
        <v/>
      </c>
    </row>
    <row r="616">
      <c r="A616" s="15">
        <f>IF(614/1000&lt;=Calculator!$B$27+0.0000001,614/1000,"")</f>
        <v/>
      </c>
      <c r="B616" s="15">
        <f>IF(A616="","",A616/Calculator!$B$27)</f>
        <v/>
      </c>
      <c r="C616" s="15">
        <f>IF(A616="","",Calculator!$B$27-A616)</f>
        <v/>
      </c>
      <c r="D616" s="17">
        <f>IF(A616="","",(Calculator!$B$11+C616)*Calculator!$B$5)</f>
        <v/>
      </c>
      <c r="E616" s="12">
        <f>IF(A616="","",IF(Calculator!$B$17=1,ROUNDUP(D616*Calculator!$B$8/3600/Calculator!$B$24-0.000000001,0),D616*Calculator!$B$8/3600/Calculator!$B$24))</f>
        <v/>
      </c>
      <c r="F616" s="16">
        <f>IF(A616="","",IF(Calculator!$B$16=1,Calculator!$B$27,A616)*Calculator!$B$5*Calculator!$B$15)</f>
        <v/>
      </c>
      <c r="G616" s="16">
        <f>IF(A616="","",E616*Calculator!$B$6+Calculator!$C$37+F616+Calculator!$B$30)</f>
        <v/>
      </c>
      <c r="H616" s="16">
        <f>IF(A616="","",Calculator!$B$40-G616)</f>
        <v/>
      </c>
      <c r="I616" s="17">
        <f>IF(A616="","",A616*Calculator!$B$5*Calculator!$B$8/3600)</f>
        <v/>
      </c>
      <c r="J616" s="12">
        <f>IF(A616="","",Calculator!$B$35-E616)</f>
        <v/>
      </c>
    </row>
    <row r="617">
      <c r="A617" s="15">
        <f>IF(615/1000&lt;=Calculator!$B$27+0.0000001,615/1000,"")</f>
        <v/>
      </c>
      <c r="B617" s="15">
        <f>IF(A617="","",A617/Calculator!$B$27)</f>
        <v/>
      </c>
      <c r="C617" s="15">
        <f>IF(A617="","",Calculator!$B$27-A617)</f>
        <v/>
      </c>
      <c r="D617" s="17">
        <f>IF(A617="","",(Calculator!$B$11+C617)*Calculator!$B$5)</f>
        <v/>
      </c>
      <c r="E617" s="12">
        <f>IF(A617="","",IF(Calculator!$B$17=1,ROUNDUP(D617*Calculator!$B$8/3600/Calculator!$B$24-0.000000001,0),D617*Calculator!$B$8/3600/Calculator!$B$24))</f>
        <v/>
      </c>
      <c r="F617" s="16">
        <f>IF(A617="","",IF(Calculator!$B$16=1,Calculator!$B$27,A617)*Calculator!$B$5*Calculator!$B$15)</f>
        <v/>
      </c>
      <c r="G617" s="16">
        <f>IF(A617="","",E617*Calculator!$B$6+Calculator!$C$37+F617+Calculator!$B$30)</f>
        <v/>
      </c>
      <c r="H617" s="16">
        <f>IF(A617="","",Calculator!$B$40-G617)</f>
        <v/>
      </c>
      <c r="I617" s="17">
        <f>IF(A617="","",A617*Calculator!$B$5*Calculator!$B$8/3600)</f>
        <v/>
      </c>
      <c r="J617" s="12">
        <f>IF(A617="","",Calculator!$B$35-E617)</f>
        <v/>
      </c>
    </row>
    <row r="618">
      <c r="A618" s="15">
        <f>IF(616/1000&lt;=Calculator!$B$27+0.0000001,616/1000,"")</f>
        <v/>
      </c>
      <c r="B618" s="15">
        <f>IF(A618="","",A618/Calculator!$B$27)</f>
        <v/>
      </c>
      <c r="C618" s="15">
        <f>IF(A618="","",Calculator!$B$27-A618)</f>
        <v/>
      </c>
      <c r="D618" s="17">
        <f>IF(A618="","",(Calculator!$B$11+C618)*Calculator!$B$5)</f>
        <v/>
      </c>
      <c r="E618" s="12">
        <f>IF(A618="","",IF(Calculator!$B$17=1,ROUNDUP(D618*Calculator!$B$8/3600/Calculator!$B$24-0.000000001,0),D618*Calculator!$B$8/3600/Calculator!$B$24))</f>
        <v/>
      </c>
      <c r="F618" s="16">
        <f>IF(A618="","",IF(Calculator!$B$16=1,Calculator!$B$27,A618)*Calculator!$B$5*Calculator!$B$15)</f>
        <v/>
      </c>
      <c r="G618" s="16">
        <f>IF(A618="","",E618*Calculator!$B$6+Calculator!$C$37+F618+Calculator!$B$30)</f>
        <v/>
      </c>
      <c r="H618" s="16">
        <f>IF(A618="","",Calculator!$B$40-G618)</f>
        <v/>
      </c>
      <c r="I618" s="17">
        <f>IF(A618="","",A618*Calculator!$B$5*Calculator!$B$8/3600)</f>
        <v/>
      </c>
      <c r="J618" s="12">
        <f>IF(A618="","",Calculator!$B$35-E618)</f>
        <v/>
      </c>
    </row>
    <row r="619">
      <c r="A619" s="15">
        <f>IF(617/1000&lt;=Calculator!$B$27+0.0000001,617/1000,"")</f>
        <v/>
      </c>
      <c r="B619" s="15">
        <f>IF(A619="","",A619/Calculator!$B$27)</f>
        <v/>
      </c>
      <c r="C619" s="15">
        <f>IF(A619="","",Calculator!$B$27-A619)</f>
        <v/>
      </c>
      <c r="D619" s="17">
        <f>IF(A619="","",(Calculator!$B$11+C619)*Calculator!$B$5)</f>
        <v/>
      </c>
      <c r="E619" s="12">
        <f>IF(A619="","",IF(Calculator!$B$17=1,ROUNDUP(D619*Calculator!$B$8/3600/Calculator!$B$24-0.000000001,0),D619*Calculator!$B$8/3600/Calculator!$B$24))</f>
        <v/>
      </c>
      <c r="F619" s="16">
        <f>IF(A619="","",IF(Calculator!$B$16=1,Calculator!$B$27,A619)*Calculator!$B$5*Calculator!$B$15)</f>
        <v/>
      </c>
      <c r="G619" s="16">
        <f>IF(A619="","",E619*Calculator!$B$6+Calculator!$C$37+F619+Calculator!$B$30)</f>
        <v/>
      </c>
      <c r="H619" s="16">
        <f>IF(A619="","",Calculator!$B$40-G619)</f>
        <v/>
      </c>
      <c r="I619" s="17">
        <f>IF(A619="","",A619*Calculator!$B$5*Calculator!$B$8/3600)</f>
        <v/>
      </c>
      <c r="J619" s="12">
        <f>IF(A619="","",Calculator!$B$35-E619)</f>
        <v/>
      </c>
    </row>
    <row r="620">
      <c r="A620" s="15">
        <f>IF(618/1000&lt;=Calculator!$B$27+0.0000001,618/1000,"")</f>
        <v/>
      </c>
      <c r="B620" s="15">
        <f>IF(A620="","",A620/Calculator!$B$27)</f>
        <v/>
      </c>
      <c r="C620" s="15">
        <f>IF(A620="","",Calculator!$B$27-A620)</f>
        <v/>
      </c>
      <c r="D620" s="17">
        <f>IF(A620="","",(Calculator!$B$11+C620)*Calculator!$B$5)</f>
        <v/>
      </c>
      <c r="E620" s="12">
        <f>IF(A620="","",IF(Calculator!$B$17=1,ROUNDUP(D620*Calculator!$B$8/3600/Calculator!$B$24-0.000000001,0),D620*Calculator!$B$8/3600/Calculator!$B$24))</f>
        <v/>
      </c>
      <c r="F620" s="16">
        <f>IF(A620="","",IF(Calculator!$B$16=1,Calculator!$B$27,A620)*Calculator!$B$5*Calculator!$B$15)</f>
        <v/>
      </c>
      <c r="G620" s="16">
        <f>IF(A620="","",E620*Calculator!$B$6+Calculator!$C$37+F620+Calculator!$B$30)</f>
        <v/>
      </c>
      <c r="H620" s="16">
        <f>IF(A620="","",Calculator!$B$40-G620)</f>
        <v/>
      </c>
      <c r="I620" s="17">
        <f>IF(A620="","",A620*Calculator!$B$5*Calculator!$B$8/3600)</f>
        <v/>
      </c>
      <c r="J620" s="12">
        <f>IF(A620="","",Calculator!$B$35-E620)</f>
        <v/>
      </c>
    </row>
    <row r="621">
      <c r="A621" s="15">
        <f>IF(619/1000&lt;=Calculator!$B$27+0.0000001,619/1000,"")</f>
        <v/>
      </c>
      <c r="B621" s="15">
        <f>IF(A621="","",A621/Calculator!$B$27)</f>
        <v/>
      </c>
      <c r="C621" s="15">
        <f>IF(A621="","",Calculator!$B$27-A621)</f>
        <v/>
      </c>
      <c r="D621" s="17">
        <f>IF(A621="","",(Calculator!$B$11+C621)*Calculator!$B$5)</f>
        <v/>
      </c>
      <c r="E621" s="12">
        <f>IF(A621="","",IF(Calculator!$B$17=1,ROUNDUP(D621*Calculator!$B$8/3600/Calculator!$B$24-0.000000001,0),D621*Calculator!$B$8/3600/Calculator!$B$24))</f>
        <v/>
      </c>
      <c r="F621" s="16">
        <f>IF(A621="","",IF(Calculator!$B$16=1,Calculator!$B$27,A621)*Calculator!$B$5*Calculator!$B$15)</f>
        <v/>
      </c>
      <c r="G621" s="16">
        <f>IF(A621="","",E621*Calculator!$B$6+Calculator!$C$37+F621+Calculator!$B$30)</f>
        <v/>
      </c>
      <c r="H621" s="16">
        <f>IF(A621="","",Calculator!$B$40-G621)</f>
        <v/>
      </c>
      <c r="I621" s="17">
        <f>IF(A621="","",A621*Calculator!$B$5*Calculator!$B$8/3600)</f>
        <v/>
      </c>
      <c r="J621" s="12">
        <f>IF(A621="","",Calculator!$B$35-E621)</f>
        <v/>
      </c>
    </row>
    <row r="622">
      <c r="A622" s="15">
        <f>IF(620/1000&lt;=Calculator!$B$27+0.0000001,620/1000,"")</f>
        <v/>
      </c>
      <c r="B622" s="15">
        <f>IF(A622="","",A622/Calculator!$B$27)</f>
        <v/>
      </c>
      <c r="C622" s="15">
        <f>IF(A622="","",Calculator!$B$27-A622)</f>
        <v/>
      </c>
      <c r="D622" s="17">
        <f>IF(A622="","",(Calculator!$B$11+C622)*Calculator!$B$5)</f>
        <v/>
      </c>
      <c r="E622" s="12">
        <f>IF(A622="","",IF(Calculator!$B$17=1,ROUNDUP(D622*Calculator!$B$8/3600/Calculator!$B$24-0.000000001,0),D622*Calculator!$B$8/3600/Calculator!$B$24))</f>
        <v/>
      </c>
      <c r="F622" s="16">
        <f>IF(A622="","",IF(Calculator!$B$16=1,Calculator!$B$27,A622)*Calculator!$B$5*Calculator!$B$15)</f>
        <v/>
      </c>
      <c r="G622" s="16">
        <f>IF(A622="","",E622*Calculator!$B$6+Calculator!$C$37+F622+Calculator!$B$30)</f>
        <v/>
      </c>
      <c r="H622" s="16">
        <f>IF(A622="","",Calculator!$B$40-G622)</f>
        <v/>
      </c>
      <c r="I622" s="17">
        <f>IF(A622="","",A622*Calculator!$B$5*Calculator!$B$8/3600)</f>
        <v/>
      </c>
      <c r="J622" s="12">
        <f>IF(A622="","",Calculator!$B$35-E622)</f>
        <v/>
      </c>
    </row>
    <row r="623">
      <c r="A623" s="15">
        <f>IF(621/1000&lt;=Calculator!$B$27+0.0000001,621/1000,"")</f>
        <v/>
      </c>
      <c r="B623" s="15">
        <f>IF(A623="","",A623/Calculator!$B$27)</f>
        <v/>
      </c>
      <c r="C623" s="15">
        <f>IF(A623="","",Calculator!$B$27-A623)</f>
        <v/>
      </c>
      <c r="D623" s="17">
        <f>IF(A623="","",(Calculator!$B$11+C623)*Calculator!$B$5)</f>
        <v/>
      </c>
      <c r="E623" s="12">
        <f>IF(A623="","",IF(Calculator!$B$17=1,ROUNDUP(D623*Calculator!$B$8/3600/Calculator!$B$24-0.000000001,0),D623*Calculator!$B$8/3600/Calculator!$B$24))</f>
        <v/>
      </c>
      <c r="F623" s="16">
        <f>IF(A623="","",IF(Calculator!$B$16=1,Calculator!$B$27,A623)*Calculator!$B$5*Calculator!$B$15)</f>
        <v/>
      </c>
      <c r="G623" s="16">
        <f>IF(A623="","",E623*Calculator!$B$6+Calculator!$C$37+F623+Calculator!$B$30)</f>
        <v/>
      </c>
      <c r="H623" s="16">
        <f>IF(A623="","",Calculator!$B$40-G623)</f>
        <v/>
      </c>
      <c r="I623" s="17">
        <f>IF(A623="","",A623*Calculator!$B$5*Calculator!$B$8/3600)</f>
        <v/>
      </c>
      <c r="J623" s="12">
        <f>IF(A623="","",Calculator!$B$35-E623)</f>
        <v/>
      </c>
    </row>
    <row r="624">
      <c r="A624" s="15">
        <f>IF(622/1000&lt;=Calculator!$B$27+0.0000001,622/1000,"")</f>
        <v/>
      </c>
      <c r="B624" s="15">
        <f>IF(A624="","",A624/Calculator!$B$27)</f>
        <v/>
      </c>
      <c r="C624" s="15">
        <f>IF(A624="","",Calculator!$B$27-A624)</f>
        <v/>
      </c>
      <c r="D624" s="17">
        <f>IF(A624="","",(Calculator!$B$11+C624)*Calculator!$B$5)</f>
        <v/>
      </c>
      <c r="E624" s="12">
        <f>IF(A624="","",IF(Calculator!$B$17=1,ROUNDUP(D624*Calculator!$B$8/3600/Calculator!$B$24-0.000000001,0),D624*Calculator!$B$8/3600/Calculator!$B$24))</f>
        <v/>
      </c>
      <c r="F624" s="16">
        <f>IF(A624="","",IF(Calculator!$B$16=1,Calculator!$B$27,A624)*Calculator!$B$5*Calculator!$B$15)</f>
        <v/>
      </c>
      <c r="G624" s="16">
        <f>IF(A624="","",E624*Calculator!$B$6+Calculator!$C$37+F624+Calculator!$B$30)</f>
        <v/>
      </c>
      <c r="H624" s="16">
        <f>IF(A624="","",Calculator!$B$40-G624)</f>
        <v/>
      </c>
      <c r="I624" s="17">
        <f>IF(A624="","",A624*Calculator!$B$5*Calculator!$B$8/3600)</f>
        <v/>
      </c>
      <c r="J624" s="12">
        <f>IF(A624="","",Calculator!$B$35-E624)</f>
        <v/>
      </c>
    </row>
    <row r="625">
      <c r="A625" s="15">
        <f>IF(623/1000&lt;=Calculator!$B$27+0.0000001,623/1000,"")</f>
        <v/>
      </c>
      <c r="B625" s="15">
        <f>IF(A625="","",A625/Calculator!$B$27)</f>
        <v/>
      </c>
      <c r="C625" s="15">
        <f>IF(A625="","",Calculator!$B$27-A625)</f>
        <v/>
      </c>
      <c r="D625" s="17">
        <f>IF(A625="","",(Calculator!$B$11+C625)*Calculator!$B$5)</f>
        <v/>
      </c>
      <c r="E625" s="12">
        <f>IF(A625="","",IF(Calculator!$B$17=1,ROUNDUP(D625*Calculator!$B$8/3600/Calculator!$B$24-0.000000001,0),D625*Calculator!$B$8/3600/Calculator!$B$24))</f>
        <v/>
      </c>
      <c r="F625" s="16">
        <f>IF(A625="","",IF(Calculator!$B$16=1,Calculator!$B$27,A625)*Calculator!$B$5*Calculator!$B$15)</f>
        <v/>
      </c>
      <c r="G625" s="16">
        <f>IF(A625="","",E625*Calculator!$B$6+Calculator!$C$37+F625+Calculator!$B$30)</f>
        <v/>
      </c>
      <c r="H625" s="16">
        <f>IF(A625="","",Calculator!$B$40-G625)</f>
        <v/>
      </c>
      <c r="I625" s="17">
        <f>IF(A625="","",A625*Calculator!$B$5*Calculator!$B$8/3600)</f>
        <v/>
      </c>
      <c r="J625" s="12">
        <f>IF(A625="","",Calculator!$B$35-E625)</f>
        <v/>
      </c>
    </row>
    <row r="626">
      <c r="A626" s="15">
        <f>IF(624/1000&lt;=Calculator!$B$27+0.0000001,624/1000,"")</f>
        <v/>
      </c>
      <c r="B626" s="15">
        <f>IF(A626="","",A626/Calculator!$B$27)</f>
        <v/>
      </c>
      <c r="C626" s="15">
        <f>IF(A626="","",Calculator!$B$27-A626)</f>
        <v/>
      </c>
      <c r="D626" s="17">
        <f>IF(A626="","",(Calculator!$B$11+C626)*Calculator!$B$5)</f>
        <v/>
      </c>
      <c r="E626" s="12">
        <f>IF(A626="","",IF(Calculator!$B$17=1,ROUNDUP(D626*Calculator!$B$8/3600/Calculator!$B$24-0.000000001,0),D626*Calculator!$B$8/3600/Calculator!$B$24))</f>
        <v/>
      </c>
      <c r="F626" s="16">
        <f>IF(A626="","",IF(Calculator!$B$16=1,Calculator!$B$27,A626)*Calculator!$B$5*Calculator!$B$15)</f>
        <v/>
      </c>
      <c r="G626" s="16">
        <f>IF(A626="","",E626*Calculator!$B$6+Calculator!$C$37+F626+Calculator!$B$30)</f>
        <v/>
      </c>
      <c r="H626" s="16">
        <f>IF(A626="","",Calculator!$B$40-G626)</f>
        <v/>
      </c>
      <c r="I626" s="17">
        <f>IF(A626="","",A626*Calculator!$B$5*Calculator!$B$8/3600)</f>
        <v/>
      </c>
      <c r="J626" s="12">
        <f>IF(A626="","",Calculator!$B$35-E626)</f>
        <v/>
      </c>
    </row>
    <row r="627">
      <c r="A627" s="15">
        <f>IF(625/1000&lt;=Calculator!$B$27+0.0000001,625/1000,"")</f>
        <v/>
      </c>
      <c r="B627" s="15">
        <f>IF(A627="","",A627/Calculator!$B$27)</f>
        <v/>
      </c>
      <c r="C627" s="15">
        <f>IF(A627="","",Calculator!$B$27-A627)</f>
        <v/>
      </c>
      <c r="D627" s="17">
        <f>IF(A627="","",(Calculator!$B$11+C627)*Calculator!$B$5)</f>
        <v/>
      </c>
      <c r="E627" s="12">
        <f>IF(A627="","",IF(Calculator!$B$17=1,ROUNDUP(D627*Calculator!$B$8/3600/Calculator!$B$24-0.000000001,0),D627*Calculator!$B$8/3600/Calculator!$B$24))</f>
        <v/>
      </c>
      <c r="F627" s="16">
        <f>IF(A627="","",IF(Calculator!$B$16=1,Calculator!$B$27,A627)*Calculator!$B$5*Calculator!$B$15)</f>
        <v/>
      </c>
      <c r="G627" s="16">
        <f>IF(A627="","",E627*Calculator!$B$6+Calculator!$C$37+F627+Calculator!$B$30)</f>
        <v/>
      </c>
      <c r="H627" s="16">
        <f>IF(A627="","",Calculator!$B$40-G627)</f>
        <v/>
      </c>
      <c r="I627" s="17">
        <f>IF(A627="","",A627*Calculator!$B$5*Calculator!$B$8/3600)</f>
        <v/>
      </c>
      <c r="J627" s="12">
        <f>IF(A627="","",Calculator!$B$35-E627)</f>
        <v/>
      </c>
    </row>
    <row r="628">
      <c r="A628" s="15">
        <f>IF(626/1000&lt;=Calculator!$B$27+0.0000001,626/1000,"")</f>
        <v/>
      </c>
      <c r="B628" s="15">
        <f>IF(A628="","",A628/Calculator!$B$27)</f>
        <v/>
      </c>
      <c r="C628" s="15">
        <f>IF(A628="","",Calculator!$B$27-A628)</f>
        <v/>
      </c>
      <c r="D628" s="17">
        <f>IF(A628="","",(Calculator!$B$11+C628)*Calculator!$B$5)</f>
        <v/>
      </c>
      <c r="E628" s="12">
        <f>IF(A628="","",IF(Calculator!$B$17=1,ROUNDUP(D628*Calculator!$B$8/3600/Calculator!$B$24-0.000000001,0),D628*Calculator!$B$8/3600/Calculator!$B$24))</f>
        <v/>
      </c>
      <c r="F628" s="16">
        <f>IF(A628="","",IF(Calculator!$B$16=1,Calculator!$B$27,A628)*Calculator!$B$5*Calculator!$B$15)</f>
        <v/>
      </c>
      <c r="G628" s="16">
        <f>IF(A628="","",E628*Calculator!$B$6+Calculator!$C$37+F628+Calculator!$B$30)</f>
        <v/>
      </c>
      <c r="H628" s="16">
        <f>IF(A628="","",Calculator!$B$40-G628)</f>
        <v/>
      </c>
      <c r="I628" s="17">
        <f>IF(A628="","",A628*Calculator!$B$5*Calculator!$B$8/3600)</f>
        <v/>
      </c>
      <c r="J628" s="12">
        <f>IF(A628="","",Calculator!$B$35-E628)</f>
        <v/>
      </c>
    </row>
    <row r="629">
      <c r="A629" s="15">
        <f>IF(627/1000&lt;=Calculator!$B$27+0.0000001,627/1000,"")</f>
        <v/>
      </c>
      <c r="B629" s="15">
        <f>IF(A629="","",A629/Calculator!$B$27)</f>
        <v/>
      </c>
      <c r="C629" s="15">
        <f>IF(A629="","",Calculator!$B$27-A629)</f>
        <v/>
      </c>
      <c r="D629" s="17">
        <f>IF(A629="","",(Calculator!$B$11+C629)*Calculator!$B$5)</f>
        <v/>
      </c>
      <c r="E629" s="12">
        <f>IF(A629="","",IF(Calculator!$B$17=1,ROUNDUP(D629*Calculator!$B$8/3600/Calculator!$B$24-0.000000001,0),D629*Calculator!$B$8/3600/Calculator!$B$24))</f>
        <v/>
      </c>
      <c r="F629" s="16">
        <f>IF(A629="","",IF(Calculator!$B$16=1,Calculator!$B$27,A629)*Calculator!$B$5*Calculator!$B$15)</f>
        <v/>
      </c>
      <c r="G629" s="16">
        <f>IF(A629="","",E629*Calculator!$B$6+Calculator!$C$37+F629+Calculator!$B$30)</f>
        <v/>
      </c>
      <c r="H629" s="16">
        <f>IF(A629="","",Calculator!$B$40-G629)</f>
        <v/>
      </c>
      <c r="I629" s="17">
        <f>IF(A629="","",A629*Calculator!$B$5*Calculator!$B$8/3600)</f>
        <v/>
      </c>
      <c r="J629" s="12">
        <f>IF(A629="","",Calculator!$B$35-E629)</f>
        <v/>
      </c>
    </row>
    <row r="630">
      <c r="A630" s="15">
        <f>IF(628/1000&lt;=Calculator!$B$27+0.0000001,628/1000,"")</f>
        <v/>
      </c>
      <c r="B630" s="15">
        <f>IF(A630="","",A630/Calculator!$B$27)</f>
        <v/>
      </c>
      <c r="C630" s="15">
        <f>IF(A630="","",Calculator!$B$27-A630)</f>
        <v/>
      </c>
      <c r="D630" s="17">
        <f>IF(A630="","",(Calculator!$B$11+C630)*Calculator!$B$5)</f>
        <v/>
      </c>
      <c r="E630" s="12">
        <f>IF(A630="","",IF(Calculator!$B$17=1,ROUNDUP(D630*Calculator!$B$8/3600/Calculator!$B$24-0.000000001,0),D630*Calculator!$B$8/3600/Calculator!$B$24))</f>
        <v/>
      </c>
      <c r="F630" s="16">
        <f>IF(A630="","",IF(Calculator!$B$16=1,Calculator!$B$27,A630)*Calculator!$B$5*Calculator!$B$15)</f>
        <v/>
      </c>
      <c r="G630" s="16">
        <f>IF(A630="","",E630*Calculator!$B$6+Calculator!$C$37+F630+Calculator!$B$30)</f>
        <v/>
      </c>
      <c r="H630" s="16">
        <f>IF(A630="","",Calculator!$B$40-G630)</f>
        <v/>
      </c>
      <c r="I630" s="17">
        <f>IF(A630="","",A630*Calculator!$B$5*Calculator!$B$8/3600)</f>
        <v/>
      </c>
      <c r="J630" s="12">
        <f>IF(A630="","",Calculator!$B$35-E630)</f>
        <v/>
      </c>
    </row>
    <row r="631">
      <c r="A631" s="15">
        <f>IF(629/1000&lt;=Calculator!$B$27+0.0000001,629/1000,"")</f>
        <v/>
      </c>
      <c r="B631" s="15">
        <f>IF(A631="","",A631/Calculator!$B$27)</f>
        <v/>
      </c>
      <c r="C631" s="15">
        <f>IF(A631="","",Calculator!$B$27-A631)</f>
        <v/>
      </c>
      <c r="D631" s="17">
        <f>IF(A631="","",(Calculator!$B$11+C631)*Calculator!$B$5)</f>
        <v/>
      </c>
      <c r="E631" s="12">
        <f>IF(A631="","",IF(Calculator!$B$17=1,ROUNDUP(D631*Calculator!$B$8/3600/Calculator!$B$24-0.000000001,0),D631*Calculator!$B$8/3600/Calculator!$B$24))</f>
        <v/>
      </c>
      <c r="F631" s="16">
        <f>IF(A631="","",IF(Calculator!$B$16=1,Calculator!$B$27,A631)*Calculator!$B$5*Calculator!$B$15)</f>
        <v/>
      </c>
      <c r="G631" s="16">
        <f>IF(A631="","",E631*Calculator!$B$6+Calculator!$C$37+F631+Calculator!$B$30)</f>
        <v/>
      </c>
      <c r="H631" s="16">
        <f>IF(A631="","",Calculator!$B$40-G631)</f>
        <v/>
      </c>
      <c r="I631" s="17">
        <f>IF(A631="","",A631*Calculator!$B$5*Calculator!$B$8/3600)</f>
        <v/>
      </c>
      <c r="J631" s="12">
        <f>IF(A631="","",Calculator!$B$35-E631)</f>
        <v/>
      </c>
    </row>
    <row r="632">
      <c r="A632" s="15">
        <f>IF(630/1000&lt;=Calculator!$B$27+0.0000001,630/1000,"")</f>
        <v/>
      </c>
      <c r="B632" s="15">
        <f>IF(A632="","",A632/Calculator!$B$27)</f>
        <v/>
      </c>
      <c r="C632" s="15">
        <f>IF(A632="","",Calculator!$B$27-A632)</f>
        <v/>
      </c>
      <c r="D632" s="17">
        <f>IF(A632="","",(Calculator!$B$11+C632)*Calculator!$B$5)</f>
        <v/>
      </c>
      <c r="E632" s="12">
        <f>IF(A632="","",IF(Calculator!$B$17=1,ROUNDUP(D632*Calculator!$B$8/3600/Calculator!$B$24-0.000000001,0),D632*Calculator!$B$8/3600/Calculator!$B$24))</f>
        <v/>
      </c>
      <c r="F632" s="16">
        <f>IF(A632="","",IF(Calculator!$B$16=1,Calculator!$B$27,A632)*Calculator!$B$5*Calculator!$B$15)</f>
        <v/>
      </c>
      <c r="G632" s="16">
        <f>IF(A632="","",E632*Calculator!$B$6+Calculator!$C$37+F632+Calculator!$B$30)</f>
        <v/>
      </c>
      <c r="H632" s="16">
        <f>IF(A632="","",Calculator!$B$40-G632)</f>
        <v/>
      </c>
      <c r="I632" s="17">
        <f>IF(A632="","",A632*Calculator!$B$5*Calculator!$B$8/3600)</f>
        <v/>
      </c>
      <c r="J632" s="12">
        <f>IF(A632="","",Calculator!$B$35-E632)</f>
        <v/>
      </c>
    </row>
    <row r="633">
      <c r="A633" s="15">
        <f>IF(631/1000&lt;=Calculator!$B$27+0.0000001,631/1000,"")</f>
        <v/>
      </c>
      <c r="B633" s="15">
        <f>IF(A633="","",A633/Calculator!$B$27)</f>
        <v/>
      </c>
      <c r="C633" s="15">
        <f>IF(A633="","",Calculator!$B$27-A633)</f>
        <v/>
      </c>
      <c r="D633" s="17">
        <f>IF(A633="","",(Calculator!$B$11+C633)*Calculator!$B$5)</f>
        <v/>
      </c>
      <c r="E633" s="12">
        <f>IF(A633="","",IF(Calculator!$B$17=1,ROUNDUP(D633*Calculator!$B$8/3600/Calculator!$B$24-0.000000001,0),D633*Calculator!$B$8/3600/Calculator!$B$24))</f>
        <v/>
      </c>
      <c r="F633" s="16">
        <f>IF(A633="","",IF(Calculator!$B$16=1,Calculator!$B$27,A633)*Calculator!$B$5*Calculator!$B$15)</f>
        <v/>
      </c>
      <c r="G633" s="16">
        <f>IF(A633="","",E633*Calculator!$B$6+Calculator!$C$37+F633+Calculator!$B$30)</f>
        <v/>
      </c>
      <c r="H633" s="16">
        <f>IF(A633="","",Calculator!$B$40-G633)</f>
        <v/>
      </c>
      <c r="I633" s="17">
        <f>IF(A633="","",A633*Calculator!$B$5*Calculator!$B$8/3600)</f>
        <v/>
      </c>
      <c r="J633" s="12">
        <f>IF(A633="","",Calculator!$B$35-E633)</f>
        <v/>
      </c>
    </row>
    <row r="634">
      <c r="A634" s="15">
        <f>IF(632/1000&lt;=Calculator!$B$27+0.0000001,632/1000,"")</f>
        <v/>
      </c>
      <c r="B634" s="15">
        <f>IF(A634="","",A634/Calculator!$B$27)</f>
        <v/>
      </c>
      <c r="C634" s="15">
        <f>IF(A634="","",Calculator!$B$27-A634)</f>
        <v/>
      </c>
      <c r="D634" s="17">
        <f>IF(A634="","",(Calculator!$B$11+C634)*Calculator!$B$5)</f>
        <v/>
      </c>
      <c r="E634" s="12">
        <f>IF(A634="","",IF(Calculator!$B$17=1,ROUNDUP(D634*Calculator!$B$8/3600/Calculator!$B$24-0.000000001,0),D634*Calculator!$B$8/3600/Calculator!$B$24))</f>
        <v/>
      </c>
      <c r="F634" s="16">
        <f>IF(A634="","",IF(Calculator!$B$16=1,Calculator!$B$27,A634)*Calculator!$B$5*Calculator!$B$15)</f>
        <v/>
      </c>
      <c r="G634" s="16">
        <f>IF(A634="","",E634*Calculator!$B$6+Calculator!$C$37+F634+Calculator!$B$30)</f>
        <v/>
      </c>
      <c r="H634" s="16">
        <f>IF(A634="","",Calculator!$B$40-G634)</f>
        <v/>
      </c>
      <c r="I634" s="17">
        <f>IF(A634="","",A634*Calculator!$B$5*Calculator!$B$8/3600)</f>
        <v/>
      </c>
      <c r="J634" s="12">
        <f>IF(A634="","",Calculator!$B$35-E634)</f>
        <v/>
      </c>
    </row>
    <row r="635">
      <c r="A635" s="15">
        <f>IF(633/1000&lt;=Calculator!$B$27+0.0000001,633/1000,"")</f>
        <v/>
      </c>
      <c r="B635" s="15">
        <f>IF(A635="","",A635/Calculator!$B$27)</f>
        <v/>
      </c>
      <c r="C635" s="15">
        <f>IF(A635="","",Calculator!$B$27-A635)</f>
        <v/>
      </c>
      <c r="D635" s="17">
        <f>IF(A635="","",(Calculator!$B$11+C635)*Calculator!$B$5)</f>
        <v/>
      </c>
      <c r="E635" s="12">
        <f>IF(A635="","",IF(Calculator!$B$17=1,ROUNDUP(D635*Calculator!$B$8/3600/Calculator!$B$24-0.000000001,0),D635*Calculator!$B$8/3600/Calculator!$B$24))</f>
        <v/>
      </c>
      <c r="F635" s="16">
        <f>IF(A635="","",IF(Calculator!$B$16=1,Calculator!$B$27,A635)*Calculator!$B$5*Calculator!$B$15)</f>
        <v/>
      </c>
      <c r="G635" s="16">
        <f>IF(A635="","",E635*Calculator!$B$6+Calculator!$C$37+F635+Calculator!$B$30)</f>
        <v/>
      </c>
      <c r="H635" s="16">
        <f>IF(A635="","",Calculator!$B$40-G635)</f>
        <v/>
      </c>
      <c r="I635" s="17">
        <f>IF(A635="","",A635*Calculator!$B$5*Calculator!$B$8/3600)</f>
        <v/>
      </c>
      <c r="J635" s="12">
        <f>IF(A635="","",Calculator!$B$35-E635)</f>
        <v/>
      </c>
    </row>
    <row r="636">
      <c r="A636" s="15">
        <f>IF(634/1000&lt;=Calculator!$B$27+0.0000001,634/1000,"")</f>
        <v/>
      </c>
      <c r="B636" s="15">
        <f>IF(A636="","",A636/Calculator!$B$27)</f>
        <v/>
      </c>
      <c r="C636" s="15">
        <f>IF(A636="","",Calculator!$B$27-A636)</f>
        <v/>
      </c>
      <c r="D636" s="17">
        <f>IF(A636="","",(Calculator!$B$11+C636)*Calculator!$B$5)</f>
        <v/>
      </c>
      <c r="E636" s="12">
        <f>IF(A636="","",IF(Calculator!$B$17=1,ROUNDUP(D636*Calculator!$B$8/3600/Calculator!$B$24-0.000000001,0),D636*Calculator!$B$8/3600/Calculator!$B$24))</f>
        <v/>
      </c>
      <c r="F636" s="16">
        <f>IF(A636="","",IF(Calculator!$B$16=1,Calculator!$B$27,A636)*Calculator!$B$5*Calculator!$B$15)</f>
        <v/>
      </c>
      <c r="G636" s="16">
        <f>IF(A636="","",E636*Calculator!$B$6+Calculator!$C$37+F636+Calculator!$B$30)</f>
        <v/>
      </c>
      <c r="H636" s="16">
        <f>IF(A636="","",Calculator!$B$40-G636)</f>
        <v/>
      </c>
      <c r="I636" s="17">
        <f>IF(A636="","",A636*Calculator!$B$5*Calculator!$B$8/3600)</f>
        <v/>
      </c>
      <c r="J636" s="12">
        <f>IF(A636="","",Calculator!$B$35-E636)</f>
        <v/>
      </c>
    </row>
    <row r="637">
      <c r="A637" s="15">
        <f>IF(635/1000&lt;=Calculator!$B$27+0.0000001,635/1000,"")</f>
        <v/>
      </c>
      <c r="B637" s="15">
        <f>IF(A637="","",A637/Calculator!$B$27)</f>
        <v/>
      </c>
      <c r="C637" s="15">
        <f>IF(A637="","",Calculator!$B$27-A637)</f>
        <v/>
      </c>
      <c r="D637" s="17">
        <f>IF(A637="","",(Calculator!$B$11+C637)*Calculator!$B$5)</f>
        <v/>
      </c>
      <c r="E637" s="12">
        <f>IF(A637="","",IF(Calculator!$B$17=1,ROUNDUP(D637*Calculator!$B$8/3600/Calculator!$B$24-0.000000001,0),D637*Calculator!$B$8/3600/Calculator!$B$24))</f>
        <v/>
      </c>
      <c r="F637" s="16">
        <f>IF(A637="","",IF(Calculator!$B$16=1,Calculator!$B$27,A637)*Calculator!$B$5*Calculator!$B$15)</f>
        <v/>
      </c>
      <c r="G637" s="16">
        <f>IF(A637="","",E637*Calculator!$B$6+Calculator!$C$37+F637+Calculator!$B$30)</f>
        <v/>
      </c>
      <c r="H637" s="16">
        <f>IF(A637="","",Calculator!$B$40-G637)</f>
        <v/>
      </c>
      <c r="I637" s="17">
        <f>IF(A637="","",A637*Calculator!$B$5*Calculator!$B$8/3600)</f>
        <v/>
      </c>
      <c r="J637" s="12">
        <f>IF(A637="","",Calculator!$B$35-E637)</f>
        <v/>
      </c>
    </row>
    <row r="638">
      <c r="A638" s="15">
        <f>IF(636/1000&lt;=Calculator!$B$27+0.0000001,636/1000,"")</f>
        <v/>
      </c>
      <c r="B638" s="15">
        <f>IF(A638="","",A638/Calculator!$B$27)</f>
        <v/>
      </c>
      <c r="C638" s="15">
        <f>IF(A638="","",Calculator!$B$27-A638)</f>
        <v/>
      </c>
      <c r="D638" s="17">
        <f>IF(A638="","",(Calculator!$B$11+C638)*Calculator!$B$5)</f>
        <v/>
      </c>
      <c r="E638" s="12">
        <f>IF(A638="","",IF(Calculator!$B$17=1,ROUNDUP(D638*Calculator!$B$8/3600/Calculator!$B$24-0.000000001,0),D638*Calculator!$B$8/3600/Calculator!$B$24))</f>
        <v/>
      </c>
      <c r="F638" s="16">
        <f>IF(A638="","",IF(Calculator!$B$16=1,Calculator!$B$27,A638)*Calculator!$B$5*Calculator!$B$15)</f>
        <v/>
      </c>
      <c r="G638" s="16">
        <f>IF(A638="","",E638*Calculator!$B$6+Calculator!$C$37+F638+Calculator!$B$30)</f>
        <v/>
      </c>
      <c r="H638" s="16">
        <f>IF(A638="","",Calculator!$B$40-G638)</f>
        <v/>
      </c>
      <c r="I638" s="17">
        <f>IF(A638="","",A638*Calculator!$B$5*Calculator!$B$8/3600)</f>
        <v/>
      </c>
      <c r="J638" s="12">
        <f>IF(A638="","",Calculator!$B$35-E638)</f>
        <v/>
      </c>
    </row>
    <row r="639">
      <c r="A639" s="15">
        <f>IF(637/1000&lt;=Calculator!$B$27+0.0000001,637/1000,"")</f>
        <v/>
      </c>
      <c r="B639" s="15">
        <f>IF(A639="","",A639/Calculator!$B$27)</f>
        <v/>
      </c>
      <c r="C639" s="15">
        <f>IF(A639="","",Calculator!$B$27-A639)</f>
        <v/>
      </c>
      <c r="D639" s="17">
        <f>IF(A639="","",(Calculator!$B$11+C639)*Calculator!$B$5)</f>
        <v/>
      </c>
      <c r="E639" s="12">
        <f>IF(A639="","",IF(Calculator!$B$17=1,ROUNDUP(D639*Calculator!$B$8/3600/Calculator!$B$24-0.000000001,0),D639*Calculator!$B$8/3600/Calculator!$B$24))</f>
        <v/>
      </c>
      <c r="F639" s="16">
        <f>IF(A639="","",IF(Calculator!$B$16=1,Calculator!$B$27,A639)*Calculator!$B$5*Calculator!$B$15)</f>
        <v/>
      </c>
      <c r="G639" s="16">
        <f>IF(A639="","",E639*Calculator!$B$6+Calculator!$C$37+F639+Calculator!$B$30)</f>
        <v/>
      </c>
      <c r="H639" s="16">
        <f>IF(A639="","",Calculator!$B$40-G639)</f>
        <v/>
      </c>
      <c r="I639" s="17">
        <f>IF(A639="","",A639*Calculator!$B$5*Calculator!$B$8/3600)</f>
        <v/>
      </c>
      <c r="J639" s="12">
        <f>IF(A639="","",Calculator!$B$35-E639)</f>
        <v/>
      </c>
    </row>
    <row r="640">
      <c r="A640" s="15">
        <f>IF(638/1000&lt;=Calculator!$B$27+0.0000001,638/1000,"")</f>
        <v/>
      </c>
      <c r="B640" s="15">
        <f>IF(A640="","",A640/Calculator!$B$27)</f>
        <v/>
      </c>
      <c r="C640" s="15">
        <f>IF(A640="","",Calculator!$B$27-A640)</f>
        <v/>
      </c>
      <c r="D640" s="17">
        <f>IF(A640="","",(Calculator!$B$11+C640)*Calculator!$B$5)</f>
        <v/>
      </c>
      <c r="E640" s="12">
        <f>IF(A640="","",IF(Calculator!$B$17=1,ROUNDUP(D640*Calculator!$B$8/3600/Calculator!$B$24-0.000000001,0),D640*Calculator!$B$8/3600/Calculator!$B$24))</f>
        <v/>
      </c>
      <c r="F640" s="16">
        <f>IF(A640="","",IF(Calculator!$B$16=1,Calculator!$B$27,A640)*Calculator!$B$5*Calculator!$B$15)</f>
        <v/>
      </c>
      <c r="G640" s="16">
        <f>IF(A640="","",E640*Calculator!$B$6+Calculator!$C$37+F640+Calculator!$B$30)</f>
        <v/>
      </c>
      <c r="H640" s="16">
        <f>IF(A640="","",Calculator!$B$40-G640)</f>
        <v/>
      </c>
      <c r="I640" s="17">
        <f>IF(A640="","",A640*Calculator!$B$5*Calculator!$B$8/3600)</f>
        <v/>
      </c>
      <c r="J640" s="12">
        <f>IF(A640="","",Calculator!$B$35-E640)</f>
        <v/>
      </c>
    </row>
    <row r="641">
      <c r="A641" s="15">
        <f>IF(639/1000&lt;=Calculator!$B$27+0.0000001,639/1000,"")</f>
        <v/>
      </c>
      <c r="B641" s="15">
        <f>IF(A641="","",A641/Calculator!$B$27)</f>
        <v/>
      </c>
      <c r="C641" s="15">
        <f>IF(A641="","",Calculator!$B$27-A641)</f>
        <v/>
      </c>
      <c r="D641" s="17">
        <f>IF(A641="","",(Calculator!$B$11+C641)*Calculator!$B$5)</f>
        <v/>
      </c>
      <c r="E641" s="12">
        <f>IF(A641="","",IF(Calculator!$B$17=1,ROUNDUP(D641*Calculator!$B$8/3600/Calculator!$B$24-0.000000001,0),D641*Calculator!$B$8/3600/Calculator!$B$24))</f>
        <v/>
      </c>
      <c r="F641" s="16">
        <f>IF(A641="","",IF(Calculator!$B$16=1,Calculator!$B$27,A641)*Calculator!$B$5*Calculator!$B$15)</f>
        <v/>
      </c>
      <c r="G641" s="16">
        <f>IF(A641="","",E641*Calculator!$B$6+Calculator!$C$37+F641+Calculator!$B$30)</f>
        <v/>
      </c>
      <c r="H641" s="16">
        <f>IF(A641="","",Calculator!$B$40-G641)</f>
        <v/>
      </c>
      <c r="I641" s="17">
        <f>IF(A641="","",A641*Calculator!$B$5*Calculator!$B$8/3600)</f>
        <v/>
      </c>
      <c r="J641" s="12">
        <f>IF(A641="","",Calculator!$B$35-E641)</f>
        <v/>
      </c>
    </row>
    <row r="642">
      <c r="A642" s="15">
        <f>IF(640/1000&lt;=Calculator!$B$27+0.0000001,640/1000,"")</f>
        <v/>
      </c>
      <c r="B642" s="15">
        <f>IF(A642="","",A642/Calculator!$B$27)</f>
        <v/>
      </c>
      <c r="C642" s="15">
        <f>IF(A642="","",Calculator!$B$27-A642)</f>
        <v/>
      </c>
      <c r="D642" s="17">
        <f>IF(A642="","",(Calculator!$B$11+C642)*Calculator!$B$5)</f>
        <v/>
      </c>
      <c r="E642" s="12">
        <f>IF(A642="","",IF(Calculator!$B$17=1,ROUNDUP(D642*Calculator!$B$8/3600/Calculator!$B$24-0.000000001,0),D642*Calculator!$B$8/3600/Calculator!$B$24))</f>
        <v/>
      </c>
      <c r="F642" s="16">
        <f>IF(A642="","",IF(Calculator!$B$16=1,Calculator!$B$27,A642)*Calculator!$B$5*Calculator!$B$15)</f>
        <v/>
      </c>
      <c r="G642" s="16">
        <f>IF(A642="","",E642*Calculator!$B$6+Calculator!$C$37+F642+Calculator!$B$30)</f>
        <v/>
      </c>
      <c r="H642" s="16">
        <f>IF(A642="","",Calculator!$B$40-G642)</f>
        <v/>
      </c>
      <c r="I642" s="17">
        <f>IF(A642="","",A642*Calculator!$B$5*Calculator!$B$8/3600)</f>
        <v/>
      </c>
      <c r="J642" s="12">
        <f>IF(A642="","",Calculator!$B$35-E642)</f>
        <v/>
      </c>
    </row>
    <row r="643">
      <c r="A643" s="15">
        <f>IF(641/1000&lt;=Calculator!$B$27+0.0000001,641/1000,"")</f>
        <v/>
      </c>
      <c r="B643" s="15">
        <f>IF(A643="","",A643/Calculator!$B$27)</f>
        <v/>
      </c>
      <c r="C643" s="15">
        <f>IF(A643="","",Calculator!$B$27-A643)</f>
        <v/>
      </c>
      <c r="D643" s="17">
        <f>IF(A643="","",(Calculator!$B$11+C643)*Calculator!$B$5)</f>
        <v/>
      </c>
      <c r="E643" s="12">
        <f>IF(A643="","",IF(Calculator!$B$17=1,ROUNDUP(D643*Calculator!$B$8/3600/Calculator!$B$24-0.000000001,0),D643*Calculator!$B$8/3600/Calculator!$B$24))</f>
        <v/>
      </c>
      <c r="F643" s="16">
        <f>IF(A643="","",IF(Calculator!$B$16=1,Calculator!$B$27,A643)*Calculator!$B$5*Calculator!$B$15)</f>
        <v/>
      </c>
      <c r="G643" s="16">
        <f>IF(A643="","",E643*Calculator!$B$6+Calculator!$C$37+F643+Calculator!$B$30)</f>
        <v/>
      </c>
      <c r="H643" s="16">
        <f>IF(A643="","",Calculator!$B$40-G643)</f>
        <v/>
      </c>
      <c r="I643" s="17">
        <f>IF(A643="","",A643*Calculator!$B$5*Calculator!$B$8/3600)</f>
        <v/>
      </c>
      <c r="J643" s="12">
        <f>IF(A643="","",Calculator!$B$35-E643)</f>
        <v/>
      </c>
    </row>
    <row r="644">
      <c r="A644" s="15">
        <f>IF(642/1000&lt;=Calculator!$B$27+0.0000001,642/1000,"")</f>
        <v/>
      </c>
      <c r="B644" s="15">
        <f>IF(A644="","",A644/Calculator!$B$27)</f>
        <v/>
      </c>
      <c r="C644" s="15">
        <f>IF(A644="","",Calculator!$B$27-A644)</f>
        <v/>
      </c>
      <c r="D644" s="17">
        <f>IF(A644="","",(Calculator!$B$11+C644)*Calculator!$B$5)</f>
        <v/>
      </c>
      <c r="E644" s="12">
        <f>IF(A644="","",IF(Calculator!$B$17=1,ROUNDUP(D644*Calculator!$B$8/3600/Calculator!$B$24-0.000000001,0),D644*Calculator!$B$8/3600/Calculator!$B$24))</f>
        <v/>
      </c>
      <c r="F644" s="16">
        <f>IF(A644="","",IF(Calculator!$B$16=1,Calculator!$B$27,A644)*Calculator!$B$5*Calculator!$B$15)</f>
        <v/>
      </c>
      <c r="G644" s="16">
        <f>IF(A644="","",E644*Calculator!$B$6+Calculator!$C$37+F644+Calculator!$B$30)</f>
        <v/>
      </c>
      <c r="H644" s="16">
        <f>IF(A644="","",Calculator!$B$40-G644)</f>
        <v/>
      </c>
      <c r="I644" s="17">
        <f>IF(A644="","",A644*Calculator!$B$5*Calculator!$B$8/3600)</f>
        <v/>
      </c>
      <c r="J644" s="12">
        <f>IF(A644="","",Calculator!$B$35-E644)</f>
        <v/>
      </c>
    </row>
    <row r="645">
      <c r="A645" s="15">
        <f>IF(643/1000&lt;=Calculator!$B$27+0.0000001,643/1000,"")</f>
        <v/>
      </c>
      <c r="B645" s="15">
        <f>IF(A645="","",A645/Calculator!$B$27)</f>
        <v/>
      </c>
      <c r="C645" s="15">
        <f>IF(A645="","",Calculator!$B$27-A645)</f>
        <v/>
      </c>
      <c r="D645" s="17">
        <f>IF(A645="","",(Calculator!$B$11+C645)*Calculator!$B$5)</f>
        <v/>
      </c>
      <c r="E645" s="12">
        <f>IF(A645="","",IF(Calculator!$B$17=1,ROUNDUP(D645*Calculator!$B$8/3600/Calculator!$B$24-0.000000001,0),D645*Calculator!$B$8/3600/Calculator!$B$24))</f>
        <v/>
      </c>
      <c r="F645" s="16">
        <f>IF(A645="","",IF(Calculator!$B$16=1,Calculator!$B$27,A645)*Calculator!$B$5*Calculator!$B$15)</f>
        <v/>
      </c>
      <c r="G645" s="16">
        <f>IF(A645="","",E645*Calculator!$B$6+Calculator!$C$37+F645+Calculator!$B$30)</f>
        <v/>
      </c>
      <c r="H645" s="16">
        <f>IF(A645="","",Calculator!$B$40-G645)</f>
        <v/>
      </c>
      <c r="I645" s="17">
        <f>IF(A645="","",A645*Calculator!$B$5*Calculator!$B$8/3600)</f>
        <v/>
      </c>
      <c r="J645" s="12">
        <f>IF(A645="","",Calculator!$B$35-E645)</f>
        <v/>
      </c>
    </row>
    <row r="646">
      <c r="A646" s="15">
        <f>IF(644/1000&lt;=Calculator!$B$27+0.0000001,644/1000,"")</f>
        <v/>
      </c>
      <c r="B646" s="15">
        <f>IF(A646="","",A646/Calculator!$B$27)</f>
        <v/>
      </c>
      <c r="C646" s="15">
        <f>IF(A646="","",Calculator!$B$27-A646)</f>
        <v/>
      </c>
      <c r="D646" s="17">
        <f>IF(A646="","",(Calculator!$B$11+C646)*Calculator!$B$5)</f>
        <v/>
      </c>
      <c r="E646" s="12">
        <f>IF(A646="","",IF(Calculator!$B$17=1,ROUNDUP(D646*Calculator!$B$8/3600/Calculator!$B$24-0.000000001,0),D646*Calculator!$B$8/3600/Calculator!$B$24))</f>
        <v/>
      </c>
      <c r="F646" s="16">
        <f>IF(A646="","",IF(Calculator!$B$16=1,Calculator!$B$27,A646)*Calculator!$B$5*Calculator!$B$15)</f>
        <v/>
      </c>
      <c r="G646" s="16">
        <f>IF(A646="","",E646*Calculator!$B$6+Calculator!$C$37+F646+Calculator!$B$30)</f>
        <v/>
      </c>
      <c r="H646" s="16">
        <f>IF(A646="","",Calculator!$B$40-G646)</f>
        <v/>
      </c>
      <c r="I646" s="17">
        <f>IF(A646="","",A646*Calculator!$B$5*Calculator!$B$8/3600)</f>
        <v/>
      </c>
      <c r="J646" s="12">
        <f>IF(A646="","",Calculator!$B$35-E646)</f>
        <v/>
      </c>
    </row>
    <row r="647">
      <c r="A647" s="15">
        <f>IF(645/1000&lt;=Calculator!$B$27+0.0000001,645/1000,"")</f>
        <v/>
      </c>
      <c r="B647" s="15">
        <f>IF(A647="","",A647/Calculator!$B$27)</f>
        <v/>
      </c>
      <c r="C647" s="15">
        <f>IF(A647="","",Calculator!$B$27-A647)</f>
        <v/>
      </c>
      <c r="D647" s="17">
        <f>IF(A647="","",(Calculator!$B$11+C647)*Calculator!$B$5)</f>
        <v/>
      </c>
      <c r="E647" s="12">
        <f>IF(A647="","",IF(Calculator!$B$17=1,ROUNDUP(D647*Calculator!$B$8/3600/Calculator!$B$24-0.000000001,0),D647*Calculator!$B$8/3600/Calculator!$B$24))</f>
        <v/>
      </c>
      <c r="F647" s="16">
        <f>IF(A647="","",IF(Calculator!$B$16=1,Calculator!$B$27,A647)*Calculator!$B$5*Calculator!$B$15)</f>
        <v/>
      </c>
      <c r="G647" s="16">
        <f>IF(A647="","",E647*Calculator!$B$6+Calculator!$C$37+F647+Calculator!$B$30)</f>
        <v/>
      </c>
      <c r="H647" s="16">
        <f>IF(A647="","",Calculator!$B$40-G647)</f>
        <v/>
      </c>
      <c r="I647" s="17">
        <f>IF(A647="","",A647*Calculator!$B$5*Calculator!$B$8/3600)</f>
        <v/>
      </c>
      <c r="J647" s="12">
        <f>IF(A647="","",Calculator!$B$35-E647)</f>
        <v/>
      </c>
    </row>
    <row r="648">
      <c r="A648" s="15">
        <f>IF(646/1000&lt;=Calculator!$B$27+0.0000001,646/1000,"")</f>
        <v/>
      </c>
      <c r="B648" s="15">
        <f>IF(A648="","",A648/Calculator!$B$27)</f>
        <v/>
      </c>
      <c r="C648" s="15">
        <f>IF(A648="","",Calculator!$B$27-A648)</f>
        <v/>
      </c>
      <c r="D648" s="17">
        <f>IF(A648="","",(Calculator!$B$11+C648)*Calculator!$B$5)</f>
        <v/>
      </c>
      <c r="E648" s="12">
        <f>IF(A648="","",IF(Calculator!$B$17=1,ROUNDUP(D648*Calculator!$B$8/3600/Calculator!$B$24-0.000000001,0),D648*Calculator!$B$8/3600/Calculator!$B$24))</f>
        <v/>
      </c>
      <c r="F648" s="16">
        <f>IF(A648="","",IF(Calculator!$B$16=1,Calculator!$B$27,A648)*Calculator!$B$5*Calculator!$B$15)</f>
        <v/>
      </c>
      <c r="G648" s="16">
        <f>IF(A648="","",E648*Calculator!$B$6+Calculator!$C$37+F648+Calculator!$B$30)</f>
        <v/>
      </c>
      <c r="H648" s="16">
        <f>IF(A648="","",Calculator!$B$40-G648)</f>
        <v/>
      </c>
      <c r="I648" s="17">
        <f>IF(A648="","",A648*Calculator!$B$5*Calculator!$B$8/3600)</f>
        <v/>
      </c>
      <c r="J648" s="12">
        <f>IF(A648="","",Calculator!$B$35-E648)</f>
        <v/>
      </c>
    </row>
    <row r="649">
      <c r="A649" s="15">
        <f>IF(647/1000&lt;=Calculator!$B$27+0.0000001,647/1000,"")</f>
        <v/>
      </c>
      <c r="B649" s="15">
        <f>IF(A649="","",A649/Calculator!$B$27)</f>
        <v/>
      </c>
      <c r="C649" s="15">
        <f>IF(A649="","",Calculator!$B$27-A649)</f>
        <v/>
      </c>
      <c r="D649" s="17">
        <f>IF(A649="","",(Calculator!$B$11+C649)*Calculator!$B$5)</f>
        <v/>
      </c>
      <c r="E649" s="12">
        <f>IF(A649="","",IF(Calculator!$B$17=1,ROUNDUP(D649*Calculator!$B$8/3600/Calculator!$B$24-0.000000001,0),D649*Calculator!$B$8/3600/Calculator!$B$24))</f>
        <v/>
      </c>
      <c r="F649" s="16">
        <f>IF(A649="","",IF(Calculator!$B$16=1,Calculator!$B$27,A649)*Calculator!$B$5*Calculator!$B$15)</f>
        <v/>
      </c>
      <c r="G649" s="16">
        <f>IF(A649="","",E649*Calculator!$B$6+Calculator!$C$37+F649+Calculator!$B$30)</f>
        <v/>
      </c>
      <c r="H649" s="16">
        <f>IF(A649="","",Calculator!$B$40-G649)</f>
        <v/>
      </c>
      <c r="I649" s="17">
        <f>IF(A649="","",A649*Calculator!$B$5*Calculator!$B$8/3600)</f>
        <v/>
      </c>
      <c r="J649" s="12">
        <f>IF(A649="","",Calculator!$B$35-E649)</f>
        <v/>
      </c>
    </row>
    <row r="650">
      <c r="A650" s="15">
        <f>IF(648/1000&lt;=Calculator!$B$27+0.0000001,648/1000,"")</f>
        <v/>
      </c>
      <c r="B650" s="15">
        <f>IF(A650="","",A650/Calculator!$B$27)</f>
        <v/>
      </c>
      <c r="C650" s="15">
        <f>IF(A650="","",Calculator!$B$27-A650)</f>
        <v/>
      </c>
      <c r="D650" s="17">
        <f>IF(A650="","",(Calculator!$B$11+C650)*Calculator!$B$5)</f>
        <v/>
      </c>
      <c r="E650" s="12">
        <f>IF(A650="","",IF(Calculator!$B$17=1,ROUNDUP(D650*Calculator!$B$8/3600/Calculator!$B$24-0.000000001,0),D650*Calculator!$B$8/3600/Calculator!$B$24))</f>
        <v/>
      </c>
      <c r="F650" s="16">
        <f>IF(A650="","",IF(Calculator!$B$16=1,Calculator!$B$27,A650)*Calculator!$B$5*Calculator!$B$15)</f>
        <v/>
      </c>
      <c r="G650" s="16">
        <f>IF(A650="","",E650*Calculator!$B$6+Calculator!$C$37+F650+Calculator!$B$30)</f>
        <v/>
      </c>
      <c r="H650" s="16">
        <f>IF(A650="","",Calculator!$B$40-G650)</f>
        <v/>
      </c>
      <c r="I650" s="17">
        <f>IF(A650="","",A650*Calculator!$B$5*Calculator!$B$8/3600)</f>
        <v/>
      </c>
      <c r="J650" s="12">
        <f>IF(A650="","",Calculator!$B$35-E650)</f>
        <v/>
      </c>
    </row>
    <row r="651">
      <c r="A651" s="15">
        <f>IF(649/1000&lt;=Calculator!$B$27+0.0000001,649/1000,"")</f>
        <v/>
      </c>
      <c r="B651" s="15">
        <f>IF(A651="","",A651/Calculator!$B$27)</f>
        <v/>
      </c>
      <c r="C651" s="15">
        <f>IF(A651="","",Calculator!$B$27-A651)</f>
        <v/>
      </c>
      <c r="D651" s="17">
        <f>IF(A651="","",(Calculator!$B$11+C651)*Calculator!$B$5)</f>
        <v/>
      </c>
      <c r="E651" s="12">
        <f>IF(A651="","",IF(Calculator!$B$17=1,ROUNDUP(D651*Calculator!$B$8/3600/Calculator!$B$24-0.000000001,0),D651*Calculator!$B$8/3600/Calculator!$B$24))</f>
        <v/>
      </c>
      <c r="F651" s="16">
        <f>IF(A651="","",IF(Calculator!$B$16=1,Calculator!$B$27,A651)*Calculator!$B$5*Calculator!$B$15)</f>
        <v/>
      </c>
      <c r="G651" s="16">
        <f>IF(A651="","",E651*Calculator!$B$6+Calculator!$C$37+F651+Calculator!$B$30)</f>
        <v/>
      </c>
      <c r="H651" s="16">
        <f>IF(A651="","",Calculator!$B$40-G651)</f>
        <v/>
      </c>
      <c r="I651" s="17">
        <f>IF(A651="","",A651*Calculator!$B$5*Calculator!$B$8/3600)</f>
        <v/>
      </c>
      <c r="J651" s="12">
        <f>IF(A651="","",Calculator!$B$35-E651)</f>
        <v/>
      </c>
    </row>
    <row r="652">
      <c r="A652" s="15">
        <f>IF(650/1000&lt;=Calculator!$B$27+0.0000001,650/1000,"")</f>
        <v/>
      </c>
      <c r="B652" s="15">
        <f>IF(A652="","",A652/Calculator!$B$27)</f>
        <v/>
      </c>
      <c r="C652" s="15">
        <f>IF(A652="","",Calculator!$B$27-A652)</f>
        <v/>
      </c>
      <c r="D652" s="17">
        <f>IF(A652="","",(Calculator!$B$11+C652)*Calculator!$B$5)</f>
        <v/>
      </c>
      <c r="E652" s="12">
        <f>IF(A652="","",IF(Calculator!$B$17=1,ROUNDUP(D652*Calculator!$B$8/3600/Calculator!$B$24-0.000000001,0),D652*Calculator!$B$8/3600/Calculator!$B$24))</f>
        <v/>
      </c>
      <c r="F652" s="16">
        <f>IF(A652="","",IF(Calculator!$B$16=1,Calculator!$B$27,A652)*Calculator!$B$5*Calculator!$B$15)</f>
        <v/>
      </c>
      <c r="G652" s="16">
        <f>IF(A652="","",E652*Calculator!$B$6+Calculator!$C$37+F652+Calculator!$B$30)</f>
        <v/>
      </c>
      <c r="H652" s="16">
        <f>IF(A652="","",Calculator!$B$40-G652)</f>
        <v/>
      </c>
      <c r="I652" s="17">
        <f>IF(A652="","",A652*Calculator!$B$5*Calculator!$B$8/3600)</f>
        <v/>
      </c>
      <c r="J652" s="12">
        <f>IF(A652="","",Calculator!$B$35-E652)</f>
        <v/>
      </c>
    </row>
    <row r="653">
      <c r="A653" s="15">
        <f>IF(651/1000&lt;=Calculator!$B$27+0.0000001,651/1000,"")</f>
        <v/>
      </c>
      <c r="B653" s="15">
        <f>IF(A653="","",A653/Calculator!$B$27)</f>
        <v/>
      </c>
      <c r="C653" s="15">
        <f>IF(A653="","",Calculator!$B$27-A653)</f>
        <v/>
      </c>
      <c r="D653" s="17">
        <f>IF(A653="","",(Calculator!$B$11+C653)*Calculator!$B$5)</f>
        <v/>
      </c>
      <c r="E653" s="12">
        <f>IF(A653="","",IF(Calculator!$B$17=1,ROUNDUP(D653*Calculator!$B$8/3600/Calculator!$B$24-0.000000001,0),D653*Calculator!$B$8/3600/Calculator!$B$24))</f>
        <v/>
      </c>
      <c r="F653" s="16">
        <f>IF(A653="","",IF(Calculator!$B$16=1,Calculator!$B$27,A653)*Calculator!$B$5*Calculator!$B$15)</f>
        <v/>
      </c>
      <c r="G653" s="16">
        <f>IF(A653="","",E653*Calculator!$B$6+Calculator!$C$37+F653+Calculator!$B$30)</f>
        <v/>
      </c>
      <c r="H653" s="16">
        <f>IF(A653="","",Calculator!$B$40-G653)</f>
        <v/>
      </c>
      <c r="I653" s="17">
        <f>IF(A653="","",A653*Calculator!$B$5*Calculator!$B$8/3600)</f>
        <v/>
      </c>
      <c r="J653" s="12">
        <f>IF(A653="","",Calculator!$B$35-E653)</f>
        <v/>
      </c>
    </row>
    <row r="654">
      <c r="A654" s="15">
        <f>IF(652/1000&lt;=Calculator!$B$27+0.0000001,652/1000,"")</f>
        <v/>
      </c>
      <c r="B654" s="15">
        <f>IF(A654="","",A654/Calculator!$B$27)</f>
        <v/>
      </c>
      <c r="C654" s="15">
        <f>IF(A654="","",Calculator!$B$27-A654)</f>
        <v/>
      </c>
      <c r="D654" s="17">
        <f>IF(A654="","",(Calculator!$B$11+C654)*Calculator!$B$5)</f>
        <v/>
      </c>
      <c r="E654" s="12">
        <f>IF(A654="","",IF(Calculator!$B$17=1,ROUNDUP(D654*Calculator!$B$8/3600/Calculator!$B$24-0.000000001,0),D654*Calculator!$B$8/3600/Calculator!$B$24))</f>
        <v/>
      </c>
      <c r="F654" s="16">
        <f>IF(A654="","",IF(Calculator!$B$16=1,Calculator!$B$27,A654)*Calculator!$B$5*Calculator!$B$15)</f>
        <v/>
      </c>
      <c r="G654" s="16">
        <f>IF(A654="","",E654*Calculator!$B$6+Calculator!$C$37+F654+Calculator!$B$30)</f>
        <v/>
      </c>
      <c r="H654" s="16">
        <f>IF(A654="","",Calculator!$B$40-G654)</f>
        <v/>
      </c>
      <c r="I654" s="17">
        <f>IF(A654="","",A654*Calculator!$B$5*Calculator!$B$8/3600)</f>
        <v/>
      </c>
      <c r="J654" s="12">
        <f>IF(A654="","",Calculator!$B$35-E654)</f>
        <v/>
      </c>
    </row>
    <row r="655">
      <c r="A655" s="15">
        <f>IF(653/1000&lt;=Calculator!$B$27+0.0000001,653/1000,"")</f>
        <v/>
      </c>
      <c r="B655" s="15">
        <f>IF(A655="","",A655/Calculator!$B$27)</f>
        <v/>
      </c>
      <c r="C655" s="15">
        <f>IF(A655="","",Calculator!$B$27-A655)</f>
        <v/>
      </c>
      <c r="D655" s="17">
        <f>IF(A655="","",(Calculator!$B$11+C655)*Calculator!$B$5)</f>
        <v/>
      </c>
      <c r="E655" s="12">
        <f>IF(A655="","",IF(Calculator!$B$17=1,ROUNDUP(D655*Calculator!$B$8/3600/Calculator!$B$24-0.000000001,0),D655*Calculator!$B$8/3600/Calculator!$B$24))</f>
        <v/>
      </c>
      <c r="F655" s="16">
        <f>IF(A655="","",IF(Calculator!$B$16=1,Calculator!$B$27,A655)*Calculator!$B$5*Calculator!$B$15)</f>
        <v/>
      </c>
      <c r="G655" s="16">
        <f>IF(A655="","",E655*Calculator!$B$6+Calculator!$C$37+F655+Calculator!$B$30)</f>
        <v/>
      </c>
      <c r="H655" s="16">
        <f>IF(A655="","",Calculator!$B$40-G655)</f>
        <v/>
      </c>
      <c r="I655" s="17">
        <f>IF(A655="","",A655*Calculator!$B$5*Calculator!$B$8/3600)</f>
        <v/>
      </c>
      <c r="J655" s="12">
        <f>IF(A655="","",Calculator!$B$35-E655)</f>
        <v/>
      </c>
    </row>
    <row r="656">
      <c r="A656" s="15">
        <f>IF(654/1000&lt;=Calculator!$B$27+0.0000001,654/1000,"")</f>
        <v/>
      </c>
      <c r="B656" s="15">
        <f>IF(A656="","",A656/Calculator!$B$27)</f>
        <v/>
      </c>
      <c r="C656" s="15">
        <f>IF(A656="","",Calculator!$B$27-A656)</f>
        <v/>
      </c>
      <c r="D656" s="17">
        <f>IF(A656="","",(Calculator!$B$11+C656)*Calculator!$B$5)</f>
        <v/>
      </c>
      <c r="E656" s="12">
        <f>IF(A656="","",IF(Calculator!$B$17=1,ROUNDUP(D656*Calculator!$B$8/3600/Calculator!$B$24-0.000000001,0),D656*Calculator!$B$8/3600/Calculator!$B$24))</f>
        <v/>
      </c>
      <c r="F656" s="16">
        <f>IF(A656="","",IF(Calculator!$B$16=1,Calculator!$B$27,A656)*Calculator!$B$5*Calculator!$B$15)</f>
        <v/>
      </c>
      <c r="G656" s="16">
        <f>IF(A656="","",E656*Calculator!$B$6+Calculator!$C$37+F656+Calculator!$B$30)</f>
        <v/>
      </c>
      <c r="H656" s="16">
        <f>IF(A656="","",Calculator!$B$40-G656)</f>
        <v/>
      </c>
      <c r="I656" s="17">
        <f>IF(A656="","",A656*Calculator!$B$5*Calculator!$B$8/3600)</f>
        <v/>
      </c>
      <c r="J656" s="12">
        <f>IF(A656="","",Calculator!$B$35-E656)</f>
        <v/>
      </c>
    </row>
    <row r="657">
      <c r="A657" s="15">
        <f>IF(655/1000&lt;=Calculator!$B$27+0.0000001,655/1000,"")</f>
        <v/>
      </c>
      <c r="B657" s="15">
        <f>IF(A657="","",A657/Calculator!$B$27)</f>
        <v/>
      </c>
      <c r="C657" s="15">
        <f>IF(A657="","",Calculator!$B$27-A657)</f>
        <v/>
      </c>
      <c r="D657" s="17">
        <f>IF(A657="","",(Calculator!$B$11+C657)*Calculator!$B$5)</f>
        <v/>
      </c>
      <c r="E657" s="12">
        <f>IF(A657="","",IF(Calculator!$B$17=1,ROUNDUP(D657*Calculator!$B$8/3600/Calculator!$B$24-0.000000001,0),D657*Calculator!$B$8/3600/Calculator!$B$24))</f>
        <v/>
      </c>
      <c r="F657" s="16">
        <f>IF(A657="","",IF(Calculator!$B$16=1,Calculator!$B$27,A657)*Calculator!$B$5*Calculator!$B$15)</f>
        <v/>
      </c>
      <c r="G657" s="16">
        <f>IF(A657="","",E657*Calculator!$B$6+Calculator!$C$37+F657+Calculator!$B$30)</f>
        <v/>
      </c>
      <c r="H657" s="16">
        <f>IF(A657="","",Calculator!$B$40-G657)</f>
        <v/>
      </c>
      <c r="I657" s="17">
        <f>IF(A657="","",A657*Calculator!$B$5*Calculator!$B$8/3600)</f>
        <v/>
      </c>
      <c r="J657" s="12">
        <f>IF(A657="","",Calculator!$B$35-E657)</f>
        <v/>
      </c>
    </row>
    <row r="658">
      <c r="A658" s="15">
        <f>IF(656/1000&lt;=Calculator!$B$27+0.0000001,656/1000,"")</f>
        <v/>
      </c>
      <c r="B658" s="15">
        <f>IF(A658="","",A658/Calculator!$B$27)</f>
        <v/>
      </c>
      <c r="C658" s="15">
        <f>IF(A658="","",Calculator!$B$27-A658)</f>
        <v/>
      </c>
      <c r="D658" s="17">
        <f>IF(A658="","",(Calculator!$B$11+C658)*Calculator!$B$5)</f>
        <v/>
      </c>
      <c r="E658" s="12">
        <f>IF(A658="","",IF(Calculator!$B$17=1,ROUNDUP(D658*Calculator!$B$8/3600/Calculator!$B$24-0.000000001,0),D658*Calculator!$B$8/3600/Calculator!$B$24))</f>
        <v/>
      </c>
      <c r="F658" s="16">
        <f>IF(A658="","",IF(Calculator!$B$16=1,Calculator!$B$27,A658)*Calculator!$B$5*Calculator!$B$15)</f>
        <v/>
      </c>
      <c r="G658" s="16">
        <f>IF(A658="","",E658*Calculator!$B$6+Calculator!$C$37+F658+Calculator!$B$30)</f>
        <v/>
      </c>
      <c r="H658" s="16">
        <f>IF(A658="","",Calculator!$B$40-G658)</f>
        <v/>
      </c>
      <c r="I658" s="17">
        <f>IF(A658="","",A658*Calculator!$B$5*Calculator!$B$8/3600)</f>
        <v/>
      </c>
      <c r="J658" s="12">
        <f>IF(A658="","",Calculator!$B$35-E658)</f>
        <v/>
      </c>
    </row>
    <row r="659">
      <c r="A659" s="15">
        <f>IF(657/1000&lt;=Calculator!$B$27+0.0000001,657/1000,"")</f>
        <v/>
      </c>
      <c r="B659" s="15">
        <f>IF(A659="","",A659/Calculator!$B$27)</f>
        <v/>
      </c>
      <c r="C659" s="15">
        <f>IF(A659="","",Calculator!$B$27-A659)</f>
        <v/>
      </c>
      <c r="D659" s="17">
        <f>IF(A659="","",(Calculator!$B$11+C659)*Calculator!$B$5)</f>
        <v/>
      </c>
      <c r="E659" s="12">
        <f>IF(A659="","",IF(Calculator!$B$17=1,ROUNDUP(D659*Calculator!$B$8/3600/Calculator!$B$24-0.000000001,0),D659*Calculator!$B$8/3600/Calculator!$B$24))</f>
        <v/>
      </c>
      <c r="F659" s="16">
        <f>IF(A659="","",IF(Calculator!$B$16=1,Calculator!$B$27,A659)*Calculator!$B$5*Calculator!$B$15)</f>
        <v/>
      </c>
      <c r="G659" s="16">
        <f>IF(A659="","",E659*Calculator!$B$6+Calculator!$C$37+F659+Calculator!$B$30)</f>
        <v/>
      </c>
      <c r="H659" s="16">
        <f>IF(A659="","",Calculator!$B$40-G659)</f>
        <v/>
      </c>
      <c r="I659" s="17">
        <f>IF(A659="","",A659*Calculator!$B$5*Calculator!$B$8/3600)</f>
        <v/>
      </c>
      <c r="J659" s="12">
        <f>IF(A659="","",Calculator!$B$35-E659)</f>
        <v/>
      </c>
    </row>
    <row r="660">
      <c r="A660" s="15">
        <f>IF(658/1000&lt;=Calculator!$B$27+0.0000001,658/1000,"")</f>
        <v/>
      </c>
      <c r="B660" s="15">
        <f>IF(A660="","",A660/Calculator!$B$27)</f>
        <v/>
      </c>
      <c r="C660" s="15">
        <f>IF(A660="","",Calculator!$B$27-A660)</f>
        <v/>
      </c>
      <c r="D660" s="17">
        <f>IF(A660="","",(Calculator!$B$11+C660)*Calculator!$B$5)</f>
        <v/>
      </c>
      <c r="E660" s="12">
        <f>IF(A660="","",IF(Calculator!$B$17=1,ROUNDUP(D660*Calculator!$B$8/3600/Calculator!$B$24-0.000000001,0),D660*Calculator!$B$8/3600/Calculator!$B$24))</f>
        <v/>
      </c>
      <c r="F660" s="16">
        <f>IF(A660="","",IF(Calculator!$B$16=1,Calculator!$B$27,A660)*Calculator!$B$5*Calculator!$B$15)</f>
        <v/>
      </c>
      <c r="G660" s="16">
        <f>IF(A660="","",E660*Calculator!$B$6+Calculator!$C$37+F660+Calculator!$B$30)</f>
        <v/>
      </c>
      <c r="H660" s="16">
        <f>IF(A660="","",Calculator!$B$40-G660)</f>
        <v/>
      </c>
      <c r="I660" s="17">
        <f>IF(A660="","",A660*Calculator!$B$5*Calculator!$B$8/3600)</f>
        <v/>
      </c>
      <c r="J660" s="12">
        <f>IF(A660="","",Calculator!$B$35-E660)</f>
        <v/>
      </c>
    </row>
    <row r="661">
      <c r="A661" s="15">
        <f>IF(659/1000&lt;=Calculator!$B$27+0.0000001,659/1000,"")</f>
        <v/>
      </c>
      <c r="B661" s="15">
        <f>IF(A661="","",A661/Calculator!$B$27)</f>
        <v/>
      </c>
      <c r="C661" s="15">
        <f>IF(A661="","",Calculator!$B$27-A661)</f>
        <v/>
      </c>
      <c r="D661" s="17">
        <f>IF(A661="","",(Calculator!$B$11+C661)*Calculator!$B$5)</f>
        <v/>
      </c>
      <c r="E661" s="12">
        <f>IF(A661="","",IF(Calculator!$B$17=1,ROUNDUP(D661*Calculator!$B$8/3600/Calculator!$B$24-0.000000001,0),D661*Calculator!$B$8/3600/Calculator!$B$24))</f>
        <v/>
      </c>
      <c r="F661" s="16">
        <f>IF(A661="","",IF(Calculator!$B$16=1,Calculator!$B$27,A661)*Calculator!$B$5*Calculator!$B$15)</f>
        <v/>
      </c>
      <c r="G661" s="16">
        <f>IF(A661="","",E661*Calculator!$B$6+Calculator!$C$37+F661+Calculator!$B$30)</f>
        <v/>
      </c>
      <c r="H661" s="16">
        <f>IF(A661="","",Calculator!$B$40-G661)</f>
        <v/>
      </c>
      <c r="I661" s="17">
        <f>IF(A661="","",A661*Calculator!$B$5*Calculator!$B$8/3600)</f>
        <v/>
      </c>
      <c r="J661" s="12">
        <f>IF(A661="","",Calculator!$B$35-E661)</f>
        <v/>
      </c>
    </row>
    <row r="662">
      <c r="A662" s="15">
        <f>IF(660/1000&lt;=Calculator!$B$27+0.0000001,660/1000,"")</f>
        <v/>
      </c>
      <c r="B662" s="15">
        <f>IF(A662="","",A662/Calculator!$B$27)</f>
        <v/>
      </c>
      <c r="C662" s="15">
        <f>IF(A662="","",Calculator!$B$27-A662)</f>
        <v/>
      </c>
      <c r="D662" s="17">
        <f>IF(A662="","",(Calculator!$B$11+C662)*Calculator!$B$5)</f>
        <v/>
      </c>
      <c r="E662" s="12">
        <f>IF(A662="","",IF(Calculator!$B$17=1,ROUNDUP(D662*Calculator!$B$8/3600/Calculator!$B$24-0.000000001,0),D662*Calculator!$B$8/3600/Calculator!$B$24))</f>
        <v/>
      </c>
      <c r="F662" s="16">
        <f>IF(A662="","",IF(Calculator!$B$16=1,Calculator!$B$27,A662)*Calculator!$B$5*Calculator!$B$15)</f>
        <v/>
      </c>
      <c r="G662" s="16">
        <f>IF(A662="","",E662*Calculator!$B$6+Calculator!$C$37+F662+Calculator!$B$30)</f>
        <v/>
      </c>
      <c r="H662" s="16">
        <f>IF(A662="","",Calculator!$B$40-G662)</f>
        <v/>
      </c>
      <c r="I662" s="17">
        <f>IF(A662="","",A662*Calculator!$B$5*Calculator!$B$8/3600)</f>
        <v/>
      </c>
      <c r="J662" s="12">
        <f>IF(A662="","",Calculator!$B$35-E662)</f>
        <v/>
      </c>
    </row>
    <row r="663">
      <c r="A663" s="15">
        <f>IF(661/1000&lt;=Calculator!$B$27+0.0000001,661/1000,"")</f>
        <v/>
      </c>
      <c r="B663" s="15">
        <f>IF(A663="","",A663/Calculator!$B$27)</f>
        <v/>
      </c>
      <c r="C663" s="15">
        <f>IF(A663="","",Calculator!$B$27-A663)</f>
        <v/>
      </c>
      <c r="D663" s="17">
        <f>IF(A663="","",(Calculator!$B$11+C663)*Calculator!$B$5)</f>
        <v/>
      </c>
      <c r="E663" s="12">
        <f>IF(A663="","",IF(Calculator!$B$17=1,ROUNDUP(D663*Calculator!$B$8/3600/Calculator!$B$24-0.000000001,0),D663*Calculator!$B$8/3600/Calculator!$B$24))</f>
        <v/>
      </c>
      <c r="F663" s="16">
        <f>IF(A663="","",IF(Calculator!$B$16=1,Calculator!$B$27,A663)*Calculator!$B$5*Calculator!$B$15)</f>
        <v/>
      </c>
      <c r="G663" s="16">
        <f>IF(A663="","",E663*Calculator!$B$6+Calculator!$C$37+F663+Calculator!$B$30)</f>
        <v/>
      </c>
      <c r="H663" s="16">
        <f>IF(A663="","",Calculator!$B$40-G663)</f>
        <v/>
      </c>
      <c r="I663" s="17">
        <f>IF(A663="","",A663*Calculator!$B$5*Calculator!$B$8/3600)</f>
        <v/>
      </c>
      <c r="J663" s="12">
        <f>IF(A663="","",Calculator!$B$35-E663)</f>
        <v/>
      </c>
    </row>
    <row r="664">
      <c r="A664" s="15">
        <f>IF(662/1000&lt;=Calculator!$B$27+0.0000001,662/1000,"")</f>
        <v/>
      </c>
      <c r="B664" s="15">
        <f>IF(A664="","",A664/Calculator!$B$27)</f>
        <v/>
      </c>
      <c r="C664" s="15">
        <f>IF(A664="","",Calculator!$B$27-A664)</f>
        <v/>
      </c>
      <c r="D664" s="17">
        <f>IF(A664="","",(Calculator!$B$11+C664)*Calculator!$B$5)</f>
        <v/>
      </c>
      <c r="E664" s="12">
        <f>IF(A664="","",IF(Calculator!$B$17=1,ROUNDUP(D664*Calculator!$B$8/3600/Calculator!$B$24-0.000000001,0),D664*Calculator!$B$8/3600/Calculator!$B$24))</f>
        <v/>
      </c>
      <c r="F664" s="16">
        <f>IF(A664="","",IF(Calculator!$B$16=1,Calculator!$B$27,A664)*Calculator!$B$5*Calculator!$B$15)</f>
        <v/>
      </c>
      <c r="G664" s="16">
        <f>IF(A664="","",E664*Calculator!$B$6+Calculator!$C$37+F664+Calculator!$B$30)</f>
        <v/>
      </c>
      <c r="H664" s="16">
        <f>IF(A664="","",Calculator!$B$40-G664)</f>
        <v/>
      </c>
      <c r="I664" s="17">
        <f>IF(A664="","",A664*Calculator!$B$5*Calculator!$B$8/3600)</f>
        <v/>
      </c>
      <c r="J664" s="12">
        <f>IF(A664="","",Calculator!$B$35-E664)</f>
        <v/>
      </c>
    </row>
    <row r="665">
      <c r="A665" s="15">
        <f>IF(663/1000&lt;=Calculator!$B$27+0.0000001,663/1000,"")</f>
        <v/>
      </c>
      <c r="B665" s="15">
        <f>IF(A665="","",A665/Calculator!$B$27)</f>
        <v/>
      </c>
      <c r="C665" s="15">
        <f>IF(A665="","",Calculator!$B$27-A665)</f>
        <v/>
      </c>
      <c r="D665" s="17">
        <f>IF(A665="","",(Calculator!$B$11+C665)*Calculator!$B$5)</f>
        <v/>
      </c>
      <c r="E665" s="12">
        <f>IF(A665="","",IF(Calculator!$B$17=1,ROUNDUP(D665*Calculator!$B$8/3600/Calculator!$B$24-0.000000001,0),D665*Calculator!$B$8/3600/Calculator!$B$24))</f>
        <v/>
      </c>
      <c r="F665" s="16">
        <f>IF(A665="","",IF(Calculator!$B$16=1,Calculator!$B$27,A665)*Calculator!$B$5*Calculator!$B$15)</f>
        <v/>
      </c>
      <c r="G665" s="16">
        <f>IF(A665="","",E665*Calculator!$B$6+Calculator!$C$37+F665+Calculator!$B$30)</f>
        <v/>
      </c>
      <c r="H665" s="16">
        <f>IF(A665="","",Calculator!$B$40-G665)</f>
        <v/>
      </c>
      <c r="I665" s="17">
        <f>IF(A665="","",A665*Calculator!$B$5*Calculator!$B$8/3600)</f>
        <v/>
      </c>
      <c r="J665" s="12">
        <f>IF(A665="","",Calculator!$B$35-E665)</f>
        <v/>
      </c>
    </row>
    <row r="666">
      <c r="A666" s="15">
        <f>IF(664/1000&lt;=Calculator!$B$27+0.0000001,664/1000,"")</f>
        <v/>
      </c>
      <c r="B666" s="15">
        <f>IF(A666="","",A666/Calculator!$B$27)</f>
        <v/>
      </c>
      <c r="C666" s="15">
        <f>IF(A666="","",Calculator!$B$27-A666)</f>
        <v/>
      </c>
      <c r="D666" s="17">
        <f>IF(A666="","",(Calculator!$B$11+C666)*Calculator!$B$5)</f>
        <v/>
      </c>
      <c r="E666" s="12">
        <f>IF(A666="","",IF(Calculator!$B$17=1,ROUNDUP(D666*Calculator!$B$8/3600/Calculator!$B$24-0.000000001,0),D666*Calculator!$B$8/3600/Calculator!$B$24))</f>
        <v/>
      </c>
      <c r="F666" s="16">
        <f>IF(A666="","",IF(Calculator!$B$16=1,Calculator!$B$27,A666)*Calculator!$B$5*Calculator!$B$15)</f>
        <v/>
      </c>
      <c r="G666" s="16">
        <f>IF(A666="","",E666*Calculator!$B$6+Calculator!$C$37+F666+Calculator!$B$30)</f>
        <v/>
      </c>
      <c r="H666" s="16">
        <f>IF(A666="","",Calculator!$B$40-G666)</f>
        <v/>
      </c>
      <c r="I666" s="17">
        <f>IF(A666="","",A666*Calculator!$B$5*Calculator!$B$8/3600)</f>
        <v/>
      </c>
      <c r="J666" s="12">
        <f>IF(A666="","",Calculator!$B$35-E666)</f>
        <v/>
      </c>
    </row>
    <row r="667">
      <c r="A667" s="15">
        <f>IF(665/1000&lt;=Calculator!$B$27+0.0000001,665/1000,"")</f>
        <v/>
      </c>
      <c r="B667" s="15">
        <f>IF(A667="","",A667/Calculator!$B$27)</f>
        <v/>
      </c>
      <c r="C667" s="15">
        <f>IF(A667="","",Calculator!$B$27-A667)</f>
        <v/>
      </c>
      <c r="D667" s="17">
        <f>IF(A667="","",(Calculator!$B$11+C667)*Calculator!$B$5)</f>
        <v/>
      </c>
      <c r="E667" s="12">
        <f>IF(A667="","",IF(Calculator!$B$17=1,ROUNDUP(D667*Calculator!$B$8/3600/Calculator!$B$24-0.000000001,0),D667*Calculator!$B$8/3600/Calculator!$B$24))</f>
        <v/>
      </c>
      <c r="F667" s="16">
        <f>IF(A667="","",IF(Calculator!$B$16=1,Calculator!$B$27,A667)*Calculator!$B$5*Calculator!$B$15)</f>
        <v/>
      </c>
      <c r="G667" s="16">
        <f>IF(A667="","",E667*Calculator!$B$6+Calculator!$C$37+F667+Calculator!$B$30)</f>
        <v/>
      </c>
      <c r="H667" s="16">
        <f>IF(A667="","",Calculator!$B$40-G667)</f>
        <v/>
      </c>
      <c r="I667" s="17">
        <f>IF(A667="","",A667*Calculator!$B$5*Calculator!$B$8/3600)</f>
        <v/>
      </c>
      <c r="J667" s="12">
        <f>IF(A667="","",Calculator!$B$35-E667)</f>
        <v/>
      </c>
    </row>
    <row r="668">
      <c r="A668" s="15">
        <f>IF(666/1000&lt;=Calculator!$B$27+0.0000001,666/1000,"")</f>
        <v/>
      </c>
      <c r="B668" s="15">
        <f>IF(A668="","",A668/Calculator!$B$27)</f>
        <v/>
      </c>
      <c r="C668" s="15">
        <f>IF(A668="","",Calculator!$B$27-A668)</f>
        <v/>
      </c>
      <c r="D668" s="17">
        <f>IF(A668="","",(Calculator!$B$11+C668)*Calculator!$B$5)</f>
        <v/>
      </c>
      <c r="E668" s="12">
        <f>IF(A668="","",IF(Calculator!$B$17=1,ROUNDUP(D668*Calculator!$B$8/3600/Calculator!$B$24-0.000000001,0),D668*Calculator!$B$8/3600/Calculator!$B$24))</f>
        <v/>
      </c>
      <c r="F668" s="16">
        <f>IF(A668="","",IF(Calculator!$B$16=1,Calculator!$B$27,A668)*Calculator!$B$5*Calculator!$B$15)</f>
        <v/>
      </c>
      <c r="G668" s="16">
        <f>IF(A668="","",E668*Calculator!$B$6+Calculator!$C$37+F668+Calculator!$B$30)</f>
        <v/>
      </c>
      <c r="H668" s="16">
        <f>IF(A668="","",Calculator!$B$40-G668)</f>
        <v/>
      </c>
      <c r="I668" s="17">
        <f>IF(A668="","",A668*Calculator!$B$5*Calculator!$B$8/3600)</f>
        <v/>
      </c>
      <c r="J668" s="12">
        <f>IF(A668="","",Calculator!$B$35-E668)</f>
        <v/>
      </c>
    </row>
    <row r="669">
      <c r="A669" s="15">
        <f>IF(667/1000&lt;=Calculator!$B$27+0.0000001,667/1000,"")</f>
        <v/>
      </c>
      <c r="B669" s="15">
        <f>IF(A669="","",A669/Calculator!$B$27)</f>
        <v/>
      </c>
      <c r="C669" s="15">
        <f>IF(A669="","",Calculator!$B$27-A669)</f>
        <v/>
      </c>
      <c r="D669" s="17">
        <f>IF(A669="","",(Calculator!$B$11+C669)*Calculator!$B$5)</f>
        <v/>
      </c>
      <c r="E669" s="12">
        <f>IF(A669="","",IF(Calculator!$B$17=1,ROUNDUP(D669*Calculator!$B$8/3600/Calculator!$B$24-0.000000001,0),D669*Calculator!$B$8/3600/Calculator!$B$24))</f>
        <v/>
      </c>
      <c r="F669" s="16">
        <f>IF(A669="","",IF(Calculator!$B$16=1,Calculator!$B$27,A669)*Calculator!$B$5*Calculator!$B$15)</f>
        <v/>
      </c>
      <c r="G669" s="16">
        <f>IF(A669="","",E669*Calculator!$B$6+Calculator!$C$37+F669+Calculator!$B$30)</f>
        <v/>
      </c>
      <c r="H669" s="16">
        <f>IF(A669="","",Calculator!$B$40-G669)</f>
        <v/>
      </c>
      <c r="I669" s="17">
        <f>IF(A669="","",A669*Calculator!$B$5*Calculator!$B$8/3600)</f>
        <v/>
      </c>
      <c r="J669" s="12">
        <f>IF(A669="","",Calculator!$B$35-E669)</f>
        <v/>
      </c>
    </row>
    <row r="670">
      <c r="A670" s="15">
        <f>IF(668/1000&lt;=Calculator!$B$27+0.0000001,668/1000,"")</f>
        <v/>
      </c>
      <c r="B670" s="15">
        <f>IF(A670="","",A670/Calculator!$B$27)</f>
        <v/>
      </c>
      <c r="C670" s="15">
        <f>IF(A670="","",Calculator!$B$27-A670)</f>
        <v/>
      </c>
      <c r="D670" s="17">
        <f>IF(A670="","",(Calculator!$B$11+C670)*Calculator!$B$5)</f>
        <v/>
      </c>
      <c r="E670" s="12">
        <f>IF(A670="","",IF(Calculator!$B$17=1,ROUNDUP(D670*Calculator!$B$8/3600/Calculator!$B$24-0.000000001,0),D670*Calculator!$B$8/3600/Calculator!$B$24))</f>
        <v/>
      </c>
      <c r="F670" s="16">
        <f>IF(A670="","",IF(Calculator!$B$16=1,Calculator!$B$27,A670)*Calculator!$B$5*Calculator!$B$15)</f>
        <v/>
      </c>
      <c r="G670" s="16">
        <f>IF(A670="","",E670*Calculator!$B$6+Calculator!$C$37+F670+Calculator!$B$30)</f>
        <v/>
      </c>
      <c r="H670" s="16">
        <f>IF(A670="","",Calculator!$B$40-G670)</f>
        <v/>
      </c>
      <c r="I670" s="17">
        <f>IF(A670="","",A670*Calculator!$B$5*Calculator!$B$8/3600)</f>
        <v/>
      </c>
      <c r="J670" s="12">
        <f>IF(A670="","",Calculator!$B$35-E670)</f>
        <v/>
      </c>
    </row>
    <row r="671">
      <c r="A671" s="15">
        <f>IF(669/1000&lt;=Calculator!$B$27+0.0000001,669/1000,"")</f>
        <v/>
      </c>
      <c r="B671" s="15">
        <f>IF(A671="","",A671/Calculator!$B$27)</f>
        <v/>
      </c>
      <c r="C671" s="15">
        <f>IF(A671="","",Calculator!$B$27-A671)</f>
        <v/>
      </c>
      <c r="D671" s="17">
        <f>IF(A671="","",(Calculator!$B$11+C671)*Calculator!$B$5)</f>
        <v/>
      </c>
      <c r="E671" s="12">
        <f>IF(A671="","",IF(Calculator!$B$17=1,ROUNDUP(D671*Calculator!$B$8/3600/Calculator!$B$24-0.000000001,0),D671*Calculator!$B$8/3600/Calculator!$B$24))</f>
        <v/>
      </c>
      <c r="F671" s="16">
        <f>IF(A671="","",IF(Calculator!$B$16=1,Calculator!$B$27,A671)*Calculator!$B$5*Calculator!$B$15)</f>
        <v/>
      </c>
      <c r="G671" s="16">
        <f>IF(A671="","",E671*Calculator!$B$6+Calculator!$C$37+F671+Calculator!$B$30)</f>
        <v/>
      </c>
      <c r="H671" s="16">
        <f>IF(A671="","",Calculator!$B$40-G671)</f>
        <v/>
      </c>
      <c r="I671" s="17">
        <f>IF(A671="","",A671*Calculator!$B$5*Calculator!$B$8/3600)</f>
        <v/>
      </c>
      <c r="J671" s="12">
        <f>IF(A671="","",Calculator!$B$35-E671)</f>
        <v/>
      </c>
    </row>
    <row r="672">
      <c r="A672" s="15">
        <f>IF(670/1000&lt;=Calculator!$B$27+0.0000001,670/1000,"")</f>
        <v/>
      </c>
      <c r="B672" s="15">
        <f>IF(A672="","",A672/Calculator!$B$27)</f>
        <v/>
      </c>
      <c r="C672" s="15">
        <f>IF(A672="","",Calculator!$B$27-A672)</f>
        <v/>
      </c>
      <c r="D672" s="17">
        <f>IF(A672="","",(Calculator!$B$11+C672)*Calculator!$B$5)</f>
        <v/>
      </c>
      <c r="E672" s="12">
        <f>IF(A672="","",IF(Calculator!$B$17=1,ROUNDUP(D672*Calculator!$B$8/3600/Calculator!$B$24-0.000000001,0),D672*Calculator!$B$8/3600/Calculator!$B$24))</f>
        <v/>
      </c>
      <c r="F672" s="16">
        <f>IF(A672="","",IF(Calculator!$B$16=1,Calculator!$B$27,A672)*Calculator!$B$5*Calculator!$B$15)</f>
        <v/>
      </c>
      <c r="G672" s="16">
        <f>IF(A672="","",E672*Calculator!$B$6+Calculator!$C$37+F672+Calculator!$B$30)</f>
        <v/>
      </c>
      <c r="H672" s="16">
        <f>IF(A672="","",Calculator!$B$40-G672)</f>
        <v/>
      </c>
      <c r="I672" s="17">
        <f>IF(A672="","",A672*Calculator!$B$5*Calculator!$B$8/3600)</f>
        <v/>
      </c>
      <c r="J672" s="12">
        <f>IF(A672="","",Calculator!$B$35-E672)</f>
        <v/>
      </c>
    </row>
    <row r="673">
      <c r="A673" s="15">
        <f>IF(671/1000&lt;=Calculator!$B$27+0.0000001,671/1000,"")</f>
        <v/>
      </c>
      <c r="B673" s="15">
        <f>IF(A673="","",A673/Calculator!$B$27)</f>
        <v/>
      </c>
      <c r="C673" s="15">
        <f>IF(A673="","",Calculator!$B$27-A673)</f>
        <v/>
      </c>
      <c r="D673" s="17">
        <f>IF(A673="","",(Calculator!$B$11+C673)*Calculator!$B$5)</f>
        <v/>
      </c>
      <c r="E673" s="12">
        <f>IF(A673="","",IF(Calculator!$B$17=1,ROUNDUP(D673*Calculator!$B$8/3600/Calculator!$B$24-0.000000001,0),D673*Calculator!$B$8/3600/Calculator!$B$24))</f>
        <v/>
      </c>
      <c r="F673" s="16">
        <f>IF(A673="","",IF(Calculator!$B$16=1,Calculator!$B$27,A673)*Calculator!$B$5*Calculator!$B$15)</f>
        <v/>
      </c>
      <c r="G673" s="16">
        <f>IF(A673="","",E673*Calculator!$B$6+Calculator!$C$37+F673+Calculator!$B$30)</f>
        <v/>
      </c>
      <c r="H673" s="16">
        <f>IF(A673="","",Calculator!$B$40-G673)</f>
        <v/>
      </c>
      <c r="I673" s="17">
        <f>IF(A673="","",A673*Calculator!$B$5*Calculator!$B$8/3600)</f>
        <v/>
      </c>
      <c r="J673" s="12">
        <f>IF(A673="","",Calculator!$B$35-E673)</f>
        <v/>
      </c>
    </row>
    <row r="674">
      <c r="A674" s="15">
        <f>IF(672/1000&lt;=Calculator!$B$27+0.0000001,672/1000,"")</f>
        <v/>
      </c>
      <c r="B674" s="15">
        <f>IF(A674="","",A674/Calculator!$B$27)</f>
        <v/>
      </c>
      <c r="C674" s="15">
        <f>IF(A674="","",Calculator!$B$27-A674)</f>
        <v/>
      </c>
      <c r="D674" s="17">
        <f>IF(A674="","",(Calculator!$B$11+C674)*Calculator!$B$5)</f>
        <v/>
      </c>
      <c r="E674" s="12">
        <f>IF(A674="","",IF(Calculator!$B$17=1,ROUNDUP(D674*Calculator!$B$8/3600/Calculator!$B$24-0.000000001,0),D674*Calculator!$B$8/3600/Calculator!$B$24))</f>
        <v/>
      </c>
      <c r="F674" s="16">
        <f>IF(A674="","",IF(Calculator!$B$16=1,Calculator!$B$27,A674)*Calculator!$B$5*Calculator!$B$15)</f>
        <v/>
      </c>
      <c r="G674" s="16">
        <f>IF(A674="","",E674*Calculator!$B$6+Calculator!$C$37+F674+Calculator!$B$30)</f>
        <v/>
      </c>
      <c r="H674" s="16">
        <f>IF(A674="","",Calculator!$B$40-G674)</f>
        <v/>
      </c>
      <c r="I674" s="17">
        <f>IF(A674="","",A674*Calculator!$B$5*Calculator!$B$8/3600)</f>
        <v/>
      </c>
      <c r="J674" s="12">
        <f>IF(A674="","",Calculator!$B$35-E674)</f>
        <v/>
      </c>
    </row>
    <row r="675">
      <c r="A675" s="15">
        <f>IF(673/1000&lt;=Calculator!$B$27+0.0000001,673/1000,"")</f>
        <v/>
      </c>
      <c r="B675" s="15">
        <f>IF(A675="","",A675/Calculator!$B$27)</f>
        <v/>
      </c>
      <c r="C675" s="15">
        <f>IF(A675="","",Calculator!$B$27-A675)</f>
        <v/>
      </c>
      <c r="D675" s="17">
        <f>IF(A675="","",(Calculator!$B$11+C675)*Calculator!$B$5)</f>
        <v/>
      </c>
      <c r="E675" s="12">
        <f>IF(A675="","",IF(Calculator!$B$17=1,ROUNDUP(D675*Calculator!$B$8/3600/Calculator!$B$24-0.000000001,0),D675*Calculator!$B$8/3600/Calculator!$B$24))</f>
        <v/>
      </c>
      <c r="F675" s="16">
        <f>IF(A675="","",IF(Calculator!$B$16=1,Calculator!$B$27,A675)*Calculator!$B$5*Calculator!$B$15)</f>
        <v/>
      </c>
      <c r="G675" s="16">
        <f>IF(A675="","",E675*Calculator!$B$6+Calculator!$C$37+F675+Calculator!$B$30)</f>
        <v/>
      </c>
      <c r="H675" s="16">
        <f>IF(A675="","",Calculator!$B$40-G675)</f>
        <v/>
      </c>
      <c r="I675" s="17">
        <f>IF(A675="","",A675*Calculator!$B$5*Calculator!$B$8/3600)</f>
        <v/>
      </c>
      <c r="J675" s="12">
        <f>IF(A675="","",Calculator!$B$35-E675)</f>
        <v/>
      </c>
    </row>
    <row r="676">
      <c r="A676" s="15">
        <f>IF(674/1000&lt;=Calculator!$B$27+0.0000001,674/1000,"")</f>
        <v/>
      </c>
      <c r="B676" s="15">
        <f>IF(A676="","",A676/Calculator!$B$27)</f>
        <v/>
      </c>
      <c r="C676" s="15">
        <f>IF(A676="","",Calculator!$B$27-A676)</f>
        <v/>
      </c>
      <c r="D676" s="17">
        <f>IF(A676="","",(Calculator!$B$11+C676)*Calculator!$B$5)</f>
        <v/>
      </c>
      <c r="E676" s="12">
        <f>IF(A676="","",IF(Calculator!$B$17=1,ROUNDUP(D676*Calculator!$B$8/3600/Calculator!$B$24-0.000000001,0),D676*Calculator!$B$8/3600/Calculator!$B$24))</f>
        <v/>
      </c>
      <c r="F676" s="16">
        <f>IF(A676="","",IF(Calculator!$B$16=1,Calculator!$B$27,A676)*Calculator!$B$5*Calculator!$B$15)</f>
        <v/>
      </c>
      <c r="G676" s="16">
        <f>IF(A676="","",E676*Calculator!$B$6+Calculator!$C$37+F676+Calculator!$B$30)</f>
        <v/>
      </c>
      <c r="H676" s="16">
        <f>IF(A676="","",Calculator!$B$40-G676)</f>
        <v/>
      </c>
      <c r="I676" s="17">
        <f>IF(A676="","",A676*Calculator!$B$5*Calculator!$B$8/3600)</f>
        <v/>
      </c>
      <c r="J676" s="12">
        <f>IF(A676="","",Calculator!$B$35-E676)</f>
        <v/>
      </c>
    </row>
    <row r="677">
      <c r="A677" s="15">
        <f>IF(675/1000&lt;=Calculator!$B$27+0.0000001,675/1000,"")</f>
        <v/>
      </c>
      <c r="B677" s="15">
        <f>IF(A677="","",A677/Calculator!$B$27)</f>
        <v/>
      </c>
      <c r="C677" s="15">
        <f>IF(A677="","",Calculator!$B$27-A677)</f>
        <v/>
      </c>
      <c r="D677" s="17">
        <f>IF(A677="","",(Calculator!$B$11+C677)*Calculator!$B$5)</f>
        <v/>
      </c>
      <c r="E677" s="12">
        <f>IF(A677="","",IF(Calculator!$B$17=1,ROUNDUP(D677*Calculator!$B$8/3600/Calculator!$B$24-0.000000001,0),D677*Calculator!$B$8/3600/Calculator!$B$24))</f>
        <v/>
      </c>
      <c r="F677" s="16">
        <f>IF(A677="","",IF(Calculator!$B$16=1,Calculator!$B$27,A677)*Calculator!$B$5*Calculator!$B$15)</f>
        <v/>
      </c>
      <c r="G677" s="16">
        <f>IF(A677="","",E677*Calculator!$B$6+Calculator!$C$37+F677+Calculator!$B$30)</f>
        <v/>
      </c>
      <c r="H677" s="16">
        <f>IF(A677="","",Calculator!$B$40-G677)</f>
        <v/>
      </c>
      <c r="I677" s="17">
        <f>IF(A677="","",A677*Calculator!$B$5*Calculator!$B$8/3600)</f>
        <v/>
      </c>
      <c r="J677" s="12">
        <f>IF(A677="","",Calculator!$B$35-E677)</f>
        <v/>
      </c>
    </row>
    <row r="678">
      <c r="A678" s="15">
        <f>IF(676/1000&lt;=Calculator!$B$27+0.0000001,676/1000,"")</f>
        <v/>
      </c>
      <c r="B678" s="15">
        <f>IF(A678="","",A678/Calculator!$B$27)</f>
        <v/>
      </c>
      <c r="C678" s="15">
        <f>IF(A678="","",Calculator!$B$27-A678)</f>
        <v/>
      </c>
      <c r="D678" s="17">
        <f>IF(A678="","",(Calculator!$B$11+C678)*Calculator!$B$5)</f>
        <v/>
      </c>
      <c r="E678" s="12">
        <f>IF(A678="","",IF(Calculator!$B$17=1,ROUNDUP(D678*Calculator!$B$8/3600/Calculator!$B$24-0.000000001,0),D678*Calculator!$B$8/3600/Calculator!$B$24))</f>
        <v/>
      </c>
      <c r="F678" s="16">
        <f>IF(A678="","",IF(Calculator!$B$16=1,Calculator!$B$27,A678)*Calculator!$B$5*Calculator!$B$15)</f>
        <v/>
      </c>
      <c r="G678" s="16">
        <f>IF(A678="","",E678*Calculator!$B$6+Calculator!$C$37+F678+Calculator!$B$30)</f>
        <v/>
      </c>
      <c r="H678" s="16">
        <f>IF(A678="","",Calculator!$B$40-G678)</f>
        <v/>
      </c>
      <c r="I678" s="17">
        <f>IF(A678="","",A678*Calculator!$B$5*Calculator!$B$8/3600)</f>
        <v/>
      </c>
      <c r="J678" s="12">
        <f>IF(A678="","",Calculator!$B$35-E678)</f>
        <v/>
      </c>
    </row>
    <row r="679">
      <c r="A679" s="15">
        <f>IF(677/1000&lt;=Calculator!$B$27+0.0000001,677/1000,"")</f>
        <v/>
      </c>
      <c r="B679" s="15">
        <f>IF(A679="","",A679/Calculator!$B$27)</f>
        <v/>
      </c>
      <c r="C679" s="15">
        <f>IF(A679="","",Calculator!$B$27-A679)</f>
        <v/>
      </c>
      <c r="D679" s="17">
        <f>IF(A679="","",(Calculator!$B$11+C679)*Calculator!$B$5)</f>
        <v/>
      </c>
      <c r="E679" s="12">
        <f>IF(A679="","",IF(Calculator!$B$17=1,ROUNDUP(D679*Calculator!$B$8/3600/Calculator!$B$24-0.000000001,0),D679*Calculator!$B$8/3600/Calculator!$B$24))</f>
        <v/>
      </c>
      <c r="F679" s="16">
        <f>IF(A679="","",IF(Calculator!$B$16=1,Calculator!$B$27,A679)*Calculator!$B$5*Calculator!$B$15)</f>
        <v/>
      </c>
      <c r="G679" s="16">
        <f>IF(A679="","",E679*Calculator!$B$6+Calculator!$C$37+F679+Calculator!$B$30)</f>
        <v/>
      </c>
      <c r="H679" s="16">
        <f>IF(A679="","",Calculator!$B$40-G679)</f>
        <v/>
      </c>
      <c r="I679" s="17">
        <f>IF(A679="","",A679*Calculator!$B$5*Calculator!$B$8/3600)</f>
        <v/>
      </c>
      <c r="J679" s="12">
        <f>IF(A679="","",Calculator!$B$35-E679)</f>
        <v/>
      </c>
    </row>
    <row r="680">
      <c r="A680" s="15">
        <f>IF(678/1000&lt;=Calculator!$B$27+0.0000001,678/1000,"")</f>
        <v/>
      </c>
      <c r="B680" s="15">
        <f>IF(A680="","",A680/Calculator!$B$27)</f>
        <v/>
      </c>
      <c r="C680" s="15">
        <f>IF(A680="","",Calculator!$B$27-A680)</f>
        <v/>
      </c>
      <c r="D680" s="17">
        <f>IF(A680="","",(Calculator!$B$11+C680)*Calculator!$B$5)</f>
        <v/>
      </c>
      <c r="E680" s="12">
        <f>IF(A680="","",IF(Calculator!$B$17=1,ROUNDUP(D680*Calculator!$B$8/3600/Calculator!$B$24-0.000000001,0),D680*Calculator!$B$8/3600/Calculator!$B$24))</f>
        <v/>
      </c>
      <c r="F680" s="16">
        <f>IF(A680="","",IF(Calculator!$B$16=1,Calculator!$B$27,A680)*Calculator!$B$5*Calculator!$B$15)</f>
        <v/>
      </c>
      <c r="G680" s="16">
        <f>IF(A680="","",E680*Calculator!$B$6+Calculator!$C$37+F680+Calculator!$B$30)</f>
        <v/>
      </c>
      <c r="H680" s="16">
        <f>IF(A680="","",Calculator!$B$40-G680)</f>
        <v/>
      </c>
      <c r="I680" s="17">
        <f>IF(A680="","",A680*Calculator!$B$5*Calculator!$B$8/3600)</f>
        <v/>
      </c>
      <c r="J680" s="12">
        <f>IF(A680="","",Calculator!$B$35-E680)</f>
        <v/>
      </c>
    </row>
    <row r="681">
      <c r="A681" s="15">
        <f>IF(679/1000&lt;=Calculator!$B$27+0.0000001,679/1000,"")</f>
        <v/>
      </c>
      <c r="B681" s="15">
        <f>IF(A681="","",A681/Calculator!$B$27)</f>
        <v/>
      </c>
      <c r="C681" s="15">
        <f>IF(A681="","",Calculator!$B$27-A681)</f>
        <v/>
      </c>
      <c r="D681" s="17">
        <f>IF(A681="","",(Calculator!$B$11+C681)*Calculator!$B$5)</f>
        <v/>
      </c>
      <c r="E681" s="12">
        <f>IF(A681="","",IF(Calculator!$B$17=1,ROUNDUP(D681*Calculator!$B$8/3600/Calculator!$B$24-0.000000001,0),D681*Calculator!$B$8/3600/Calculator!$B$24))</f>
        <v/>
      </c>
      <c r="F681" s="16">
        <f>IF(A681="","",IF(Calculator!$B$16=1,Calculator!$B$27,A681)*Calculator!$B$5*Calculator!$B$15)</f>
        <v/>
      </c>
      <c r="G681" s="16">
        <f>IF(A681="","",E681*Calculator!$B$6+Calculator!$C$37+F681+Calculator!$B$30)</f>
        <v/>
      </c>
      <c r="H681" s="16">
        <f>IF(A681="","",Calculator!$B$40-G681)</f>
        <v/>
      </c>
      <c r="I681" s="17">
        <f>IF(A681="","",A681*Calculator!$B$5*Calculator!$B$8/3600)</f>
        <v/>
      </c>
      <c r="J681" s="12">
        <f>IF(A681="","",Calculator!$B$35-E681)</f>
        <v/>
      </c>
    </row>
    <row r="682">
      <c r="A682" s="15">
        <f>IF(680/1000&lt;=Calculator!$B$27+0.0000001,680/1000,"")</f>
        <v/>
      </c>
      <c r="B682" s="15">
        <f>IF(A682="","",A682/Calculator!$B$27)</f>
        <v/>
      </c>
      <c r="C682" s="15">
        <f>IF(A682="","",Calculator!$B$27-A682)</f>
        <v/>
      </c>
      <c r="D682" s="17">
        <f>IF(A682="","",(Calculator!$B$11+C682)*Calculator!$B$5)</f>
        <v/>
      </c>
      <c r="E682" s="12">
        <f>IF(A682="","",IF(Calculator!$B$17=1,ROUNDUP(D682*Calculator!$B$8/3600/Calculator!$B$24-0.000000001,0),D682*Calculator!$B$8/3600/Calculator!$B$24))</f>
        <v/>
      </c>
      <c r="F682" s="16">
        <f>IF(A682="","",IF(Calculator!$B$16=1,Calculator!$B$27,A682)*Calculator!$B$5*Calculator!$B$15)</f>
        <v/>
      </c>
      <c r="G682" s="16">
        <f>IF(A682="","",E682*Calculator!$B$6+Calculator!$C$37+F682+Calculator!$B$30)</f>
        <v/>
      </c>
      <c r="H682" s="16">
        <f>IF(A682="","",Calculator!$B$40-G682)</f>
        <v/>
      </c>
      <c r="I682" s="17">
        <f>IF(A682="","",A682*Calculator!$B$5*Calculator!$B$8/3600)</f>
        <v/>
      </c>
      <c r="J682" s="12">
        <f>IF(A682="","",Calculator!$B$35-E682)</f>
        <v/>
      </c>
    </row>
    <row r="683">
      <c r="A683" s="15">
        <f>IF(681/1000&lt;=Calculator!$B$27+0.0000001,681/1000,"")</f>
        <v/>
      </c>
      <c r="B683" s="15">
        <f>IF(A683="","",A683/Calculator!$B$27)</f>
        <v/>
      </c>
      <c r="C683" s="15">
        <f>IF(A683="","",Calculator!$B$27-A683)</f>
        <v/>
      </c>
      <c r="D683" s="17">
        <f>IF(A683="","",(Calculator!$B$11+C683)*Calculator!$B$5)</f>
        <v/>
      </c>
      <c r="E683" s="12">
        <f>IF(A683="","",IF(Calculator!$B$17=1,ROUNDUP(D683*Calculator!$B$8/3600/Calculator!$B$24-0.000000001,0),D683*Calculator!$B$8/3600/Calculator!$B$24))</f>
        <v/>
      </c>
      <c r="F683" s="16">
        <f>IF(A683="","",IF(Calculator!$B$16=1,Calculator!$B$27,A683)*Calculator!$B$5*Calculator!$B$15)</f>
        <v/>
      </c>
      <c r="G683" s="16">
        <f>IF(A683="","",E683*Calculator!$B$6+Calculator!$C$37+F683+Calculator!$B$30)</f>
        <v/>
      </c>
      <c r="H683" s="16">
        <f>IF(A683="","",Calculator!$B$40-G683)</f>
        <v/>
      </c>
      <c r="I683" s="17">
        <f>IF(A683="","",A683*Calculator!$B$5*Calculator!$B$8/3600)</f>
        <v/>
      </c>
      <c r="J683" s="12">
        <f>IF(A683="","",Calculator!$B$35-E683)</f>
        <v/>
      </c>
    </row>
    <row r="684">
      <c r="A684" s="15">
        <f>IF(682/1000&lt;=Calculator!$B$27+0.0000001,682/1000,"")</f>
        <v/>
      </c>
      <c r="B684" s="15">
        <f>IF(A684="","",A684/Calculator!$B$27)</f>
        <v/>
      </c>
      <c r="C684" s="15">
        <f>IF(A684="","",Calculator!$B$27-A684)</f>
        <v/>
      </c>
      <c r="D684" s="17">
        <f>IF(A684="","",(Calculator!$B$11+C684)*Calculator!$B$5)</f>
        <v/>
      </c>
      <c r="E684" s="12">
        <f>IF(A684="","",IF(Calculator!$B$17=1,ROUNDUP(D684*Calculator!$B$8/3600/Calculator!$B$24-0.000000001,0),D684*Calculator!$B$8/3600/Calculator!$B$24))</f>
        <v/>
      </c>
      <c r="F684" s="16">
        <f>IF(A684="","",IF(Calculator!$B$16=1,Calculator!$B$27,A684)*Calculator!$B$5*Calculator!$B$15)</f>
        <v/>
      </c>
      <c r="G684" s="16">
        <f>IF(A684="","",E684*Calculator!$B$6+Calculator!$C$37+F684+Calculator!$B$30)</f>
        <v/>
      </c>
      <c r="H684" s="16">
        <f>IF(A684="","",Calculator!$B$40-G684)</f>
        <v/>
      </c>
      <c r="I684" s="17">
        <f>IF(A684="","",A684*Calculator!$B$5*Calculator!$B$8/3600)</f>
        <v/>
      </c>
      <c r="J684" s="12">
        <f>IF(A684="","",Calculator!$B$35-E684)</f>
        <v/>
      </c>
    </row>
    <row r="685">
      <c r="A685" s="15">
        <f>IF(683/1000&lt;=Calculator!$B$27+0.0000001,683/1000,"")</f>
        <v/>
      </c>
      <c r="B685" s="15">
        <f>IF(A685="","",A685/Calculator!$B$27)</f>
        <v/>
      </c>
      <c r="C685" s="15">
        <f>IF(A685="","",Calculator!$B$27-A685)</f>
        <v/>
      </c>
      <c r="D685" s="17">
        <f>IF(A685="","",(Calculator!$B$11+C685)*Calculator!$B$5)</f>
        <v/>
      </c>
      <c r="E685" s="12">
        <f>IF(A685="","",IF(Calculator!$B$17=1,ROUNDUP(D685*Calculator!$B$8/3600/Calculator!$B$24-0.000000001,0),D685*Calculator!$B$8/3600/Calculator!$B$24))</f>
        <v/>
      </c>
      <c r="F685" s="16">
        <f>IF(A685="","",IF(Calculator!$B$16=1,Calculator!$B$27,A685)*Calculator!$B$5*Calculator!$B$15)</f>
        <v/>
      </c>
      <c r="G685" s="16">
        <f>IF(A685="","",E685*Calculator!$B$6+Calculator!$C$37+F685+Calculator!$B$30)</f>
        <v/>
      </c>
      <c r="H685" s="16">
        <f>IF(A685="","",Calculator!$B$40-G685)</f>
        <v/>
      </c>
      <c r="I685" s="17">
        <f>IF(A685="","",A685*Calculator!$B$5*Calculator!$B$8/3600)</f>
        <v/>
      </c>
      <c r="J685" s="12">
        <f>IF(A685="","",Calculator!$B$35-E685)</f>
        <v/>
      </c>
    </row>
    <row r="686">
      <c r="A686" s="15">
        <f>IF(684/1000&lt;=Calculator!$B$27+0.0000001,684/1000,"")</f>
        <v/>
      </c>
      <c r="B686" s="15">
        <f>IF(A686="","",A686/Calculator!$B$27)</f>
        <v/>
      </c>
      <c r="C686" s="15">
        <f>IF(A686="","",Calculator!$B$27-A686)</f>
        <v/>
      </c>
      <c r="D686" s="17">
        <f>IF(A686="","",(Calculator!$B$11+C686)*Calculator!$B$5)</f>
        <v/>
      </c>
      <c r="E686" s="12">
        <f>IF(A686="","",IF(Calculator!$B$17=1,ROUNDUP(D686*Calculator!$B$8/3600/Calculator!$B$24-0.000000001,0),D686*Calculator!$B$8/3600/Calculator!$B$24))</f>
        <v/>
      </c>
      <c r="F686" s="16">
        <f>IF(A686="","",IF(Calculator!$B$16=1,Calculator!$B$27,A686)*Calculator!$B$5*Calculator!$B$15)</f>
        <v/>
      </c>
      <c r="G686" s="16">
        <f>IF(A686="","",E686*Calculator!$B$6+Calculator!$C$37+F686+Calculator!$B$30)</f>
        <v/>
      </c>
      <c r="H686" s="16">
        <f>IF(A686="","",Calculator!$B$40-G686)</f>
        <v/>
      </c>
      <c r="I686" s="17">
        <f>IF(A686="","",A686*Calculator!$B$5*Calculator!$B$8/3600)</f>
        <v/>
      </c>
      <c r="J686" s="12">
        <f>IF(A686="","",Calculator!$B$35-E686)</f>
        <v/>
      </c>
    </row>
    <row r="687">
      <c r="A687" s="15">
        <f>IF(685/1000&lt;=Calculator!$B$27+0.0000001,685/1000,"")</f>
        <v/>
      </c>
      <c r="B687" s="15">
        <f>IF(A687="","",A687/Calculator!$B$27)</f>
        <v/>
      </c>
      <c r="C687" s="15">
        <f>IF(A687="","",Calculator!$B$27-A687)</f>
        <v/>
      </c>
      <c r="D687" s="17">
        <f>IF(A687="","",(Calculator!$B$11+C687)*Calculator!$B$5)</f>
        <v/>
      </c>
      <c r="E687" s="12">
        <f>IF(A687="","",IF(Calculator!$B$17=1,ROUNDUP(D687*Calculator!$B$8/3600/Calculator!$B$24-0.000000001,0),D687*Calculator!$B$8/3600/Calculator!$B$24))</f>
        <v/>
      </c>
      <c r="F687" s="16">
        <f>IF(A687="","",IF(Calculator!$B$16=1,Calculator!$B$27,A687)*Calculator!$B$5*Calculator!$B$15)</f>
        <v/>
      </c>
      <c r="G687" s="16">
        <f>IF(A687="","",E687*Calculator!$B$6+Calculator!$C$37+F687+Calculator!$B$30)</f>
        <v/>
      </c>
      <c r="H687" s="16">
        <f>IF(A687="","",Calculator!$B$40-G687)</f>
        <v/>
      </c>
      <c r="I687" s="17">
        <f>IF(A687="","",A687*Calculator!$B$5*Calculator!$B$8/3600)</f>
        <v/>
      </c>
      <c r="J687" s="12">
        <f>IF(A687="","",Calculator!$B$35-E687)</f>
        <v/>
      </c>
    </row>
    <row r="688">
      <c r="A688" s="15">
        <f>IF(686/1000&lt;=Calculator!$B$27+0.0000001,686/1000,"")</f>
        <v/>
      </c>
      <c r="B688" s="15">
        <f>IF(A688="","",A688/Calculator!$B$27)</f>
        <v/>
      </c>
      <c r="C688" s="15">
        <f>IF(A688="","",Calculator!$B$27-A688)</f>
        <v/>
      </c>
      <c r="D688" s="17">
        <f>IF(A688="","",(Calculator!$B$11+C688)*Calculator!$B$5)</f>
        <v/>
      </c>
      <c r="E688" s="12">
        <f>IF(A688="","",IF(Calculator!$B$17=1,ROUNDUP(D688*Calculator!$B$8/3600/Calculator!$B$24-0.000000001,0),D688*Calculator!$B$8/3600/Calculator!$B$24))</f>
        <v/>
      </c>
      <c r="F688" s="16">
        <f>IF(A688="","",IF(Calculator!$B$16=1,Calculator!$B$27,A688)*Calculator!$B$5*Calculator!$B$15)</f>
        <v/>
      </c>
      <c r="G688" s="16">
        <f>IF(A688="","",E688*Calculator!$B$6+Calculator!$C$37+F688+Calculator!$B$30)</f>
        <v/>
      </c>
      <c r="H688" s="16">
        <f>IF(A688="","",Calculator!$B$40-G688)</f>
        <v/>
      </c>
      <c r="I688" s="17">
        <f>IF(A688="","",A688*Calculator!$B$5*Calculator!$B$8/3600)</f>
        <v/>
      </c>
      <c r="J688" s="12">
        <f>IF(A688="","",Calculator!$B$35-E688)</f>
        <v/>
      </c>
    </row>
    <row r="689">
      <c r="A689" s="15">
        <f>IF(687/1000&lt;=Calculator!$B$27+0.0000001,687/1000,"")</f>
        <v/>
      </c>
      <c r="B689" s="15">
        <f>IF(A689="","",A689/Calculator!$B$27)</f>
        <v/>
      </c>
      <c r="C689" s="15">
        <f>IF(A689="","",Calculator!$B$27-A689)</f>
        <v/>
      </c>
      <c r="D689" s="17">
        <f>IF(A689="","",(Calculator!$B$11+C689)*Calculator!$B$5)</f>
        <v/>
      </c>
      <c r="E689" s="12">
        <f>IF(A689="","",IF(Calculator!$B$17=1,ROUNDUP(D689*Calculator!$B$8/3600/Calculator!$B$24-0.000000001,0),D689*Calculator!$B$8/3600/Calculator!$B$24))</f>
        <v/>
      </c>
      <c r="F689" s="16">
        <f>IF(A689="","",IF(Calculator!$B$16=1,Calculator!$B$27,A689)*Calculator!$B$5*Calculator!$B$15)</f>
        <v/>
      </c>
      <c r="G689" s="16">
        <f>IF(A689="","",E689*Calculator!$B$6+Calculator!$C$37+F689+Calculator!$B$30)</f>
        <v/>
      </c>
      <c r="H689" s="16">
        <f>IF(A689="","",Calculator!$B$40-G689)</f>
        <v/>
      </c>
      <c r="I689" s="17">
        <f>IF(A689="","",A689*Calculator!$B$5*Calculator!$B$8/3600)</f>
        <v/>
      </c>
      <c r="J689" s="12">
        <f>IF(A689="","",Calculator!$B$35-E689)</f>
        <v/>
      </c>
    </row>
    <row r="690">
      <c r="A690" s="15">
        <f>IF(688/1000&lt;=Calculator!$B$27+0.0000001,688/1000,"")</f>
        <v/>
      </c>
      <c r="B690" s="15">
        <f>IF(A690="","",A690/Calculator!$B$27)</f>
        <v/>
      </c>
      <c r="C690" s="15">
        <f>IF(A690="","",Calculator!$B$27-A690)</f>
        <v/>
      </c>
      <c r="D690" s="17">
        <f>IF(A690="","",(Calculator!$B$11+C690)*Calculator!$B$5)</f>
        <v/>
      </c>
      <c r="E690" s="12">
        <f>IF(A690="","",IF(Calculator!$B$17=1,ROUNDUP(D690*Calculator!$B$8/3600/Calculator!$B$24-0.000000001,0),D690*Calculator!$B$8/3600/Calculator!$B$24))</f>
        <v/>
      </c>
      <c r="F690" s="16">
        <f>IF(A690="","",IF(Calculator!$B$16=1,Calculator!$B$27,A690)*Calculator!$B$5*Calculator!$B$15)</f>
        <v/>
      </c>
      <c r="G690" s="16">
        <f>IF(A690="","",E690*Calculator!$B$6+Calculator!$C$37+F690+Calculator!$B$30)</f>
        <v/>
      </c>
      <c r="H690" s="16">
        <f>IF(A690="","",Calculator!$B$40-G690)</f>
        <v/>
      </c>
      <c r="I690" s="17">
        <f>IF(A690="","",A690*Calculator!$B$5*Calculator!$B$8/3600)</f>
        <v/>
      </c>
      <c r="J690" s="12">
        <f>IF(A690="","",Calculator!$B$35-E690)</f>
        <v/>
      </c>
    </row>
    <row r="691">
      <c r="A691" s="15">
        <f>IF(689/1000&lt;=Calculator!$B$27+0.0000001,689/1000,"")</f>
        <v/>
      </c>
      <c r="B691" s="15">
        <f>IF(A691="","",A691/Calculator!$B$27)</f>
        <v/>
      </c>
      <c r="C691" s="15">
        <f>IF(A691="","",Calculator!$B$27-A691)</f>
        <v/>
      </c>
      <c r="D691" s="17">
        <f>IF(A691="","",(Calculator!$B$11+C691)*Calculator!$B$5)</f>
        <v/>
      </c>
      <c r="E691" s="12">
        <f>IF(A691="","",IF(Calculator!$B$17=1,ROUNDUP(D691*Calculator!$B$8/3600/Calculator!$B$24-0.000000001,0),D691*Calculator!$B$8/3600/Calculator!$B$24))</f>
        <v/>
      </c>
      <c r="F691" s="16">
        <f>IF(A691="","",IF(Calculator!$B$16=1,Calculator!$B$27,A691)*Calculator!$B$5*Calculator!$B$15)</f>
        <v/>
      </c>
      <c r="G691" s="16">
        <f>IF(A691="","",E691*Calculator!$B$6+Calculator!$C$37+F691+Calculator!$B$30)</f>
        <v/>
      </c>
      <c r="H691" s="16">
        <f>IF(A691="","",Calculator!$B$40-G691)</f>
        <v/>
      </c>
      <c r="I691" s="17">
        <f>IF(A691="","",A691*Calculator!$B$5*Calculator!$B$8/3600)</f>
        <v/>
      </c>
      <c r="J691" s="12">
        <f>IF(A691="","",Calculator!$B$35-E691)</f>
        <v/>
      </c>
    </row>
    <row r="692">
      <c r="A692" s="15">
        <f>IF(690/1000&lt;=Calculator!$B$27+0.0000001,690/1000,"")</f>
        <v/>
      </c>
      <c r="B692" s="15">
        <f>IF(A692="","",A692/Calculator!$B$27)</f>
        <v/>
      </c>
      <c r="C692" s="15">
        <f>IF(A692="","",Calculator!$B$27-A692)</f>
        <v/>
      </c>
      <c r="D692" s="17">
        <f>IF(A692="","",(Calculator!$B$11+C692)*Calculator!$B$5)</f>
        <v/>
      </c>
      <c r="E692" s="12">
        <f>IF(A692="","",IF(Calculator!$B$17=1,ROUNDUP(D692*Calculator!$B$8/3600/Calculator!$B$24-0.000000001,0),D692*Calculator!$B$8/3600/Calculator!$B$24))</f>
        <v/>
      </c>
      <c r="F692" s="16">
        <f>IF(A692="","",IF(Calculator!$B$16=1,Calculator!$B$27,A692)*Calculator!$B$5*Calculator!$B$15)</f>
        <v/>
      </c>
      <c r="G692" s="16">
        <f>IF(A692="","",E692*Calculator!$B$6+Calculator!$C$37+F692+Calculator!$B$30)</f>
        <v/>
      </c>
      <c r="H692" s="16">
        <f>IF(A692="","",Calculator!$B$40-G692)</f>
        <v/>
      </c>
      <c r="I692" s="17">
        <f>IF(A692="","",A692*Calculator!$B$5*Calculator!$B$8/3600)</f>
        <v/>
      </c>
      <c r="J692" s="12">
        <f>IF(A692="","",Calculator!$B$35-E692)</f>
        <v/>
      </c>
    </row>
    <row r="693">
      <c r="A693" s="15">
        <f>IF(691/1000&lt;=Calculator!$B$27+0.0000001,691/1000,"")</f>
        <v/>
      </c>
      <c r="B693" s="15">
        <f>IF(A693="","",A693/Calculator!$B$27)</f>
        <v/>
      </c>
      <c r="C693" s="15">
        <f>IF(A693="","",Calculator!$B$27-A693)</f>
        <v/>
      </c>
      <c r="D693" s="17">
        <f>IF(A693="","",(Calculator!$B$11+C693)*Calculator!$B$5)</f>
        <v/>
      </c>
      <c r="E693" s="12">
        <f>IF(A693="","",IF(Calculator!$B$17=1,ROUNDUP(D693*Calculator!$B$8/3600/Calculator!$B$24-0.000000001,0),D693*Calculator!$B$8/3600/Calculator!$B$24))</f>
        <v/>
      </c>
      <c r="F693" s="16">
        <f>IF(A693="","",IF(Calculator!$B$16=1,Calculator!$B$27,A693)*Calculator!$B$5*Calculator!$B$15)</f>
        <v/>
      </c>
      <c r="G693" s="16">
        <f>IF(A693="","",E693*Calculator!$B$6+Calculator!$C$37+F693+Calculator!$B$30)</f>
        <v/>
      </c>
      <c r="H693" s="16">
        <f>IF(A693="","",Calculator!$B$40-G693)</f>
        <v/>
      </c>
      <c r="I693" s="17">
        <f>IF(A693="","",A693*Calculator!$B$5*Calculator!$B$8/3600)</f>
        <v/>
      </c>
      <c r="J693" s="12">
        <f>IF(A693="","",Calculator!$B$35-E693)</f>
        <v/>
      </c>
    </row>
    <row r="694">
      <c r="A694" s="15">
        <f>IF(692/1000&lt;=Calculator!$B$27+0.0000001,692/1000,"")</f>
        <v/>
      </c>
      <c r="B694" s="15">
        <f>IF(A694="","",A694/Calculator!$B$27)</f>
        <v/>
      </c>
      <c r="C694" s="15">
        <f>IF(A694="","",Calculator!$B$27-A694)</f>
        <v/>
      </c>
      <c r="D694" s="17">
        <f>IF(A694="","",(Calculator!$B$11+C694)*Calculator!$B$5)</f>
        <v/>
      </c>
      <c r="E694" s="12">
        <f>IF(A694="","",IF(Calculator!$B$17=1,ROUNDUP(D694*Calculator!$B$8/3600/Calculator!$B$24-0.000000001,0),D694*Calculator!$B$8/3600/Calculator!$B$24))</f>
        <v/>
      </c>
      <c r="F694" s="16">
        <f>IF(A694="","",IF(Calculator!$B$16=1,Calculator!$B$27,A694)*Calculator!$B$5*Calculator!$B$15)</f>
        <v/>
      </c>
      <c r="G694" s="16">
        <f>IF(A694="","",E694*Calculator!$B$6+Calculator!$C$37+F694+Calculator!$B$30)</f>
        <v/>
      </c>
      <c r="H694" s="16">
        <f>IF(A694="","",Calculator!$B$40-G694)</f>
        <v/>
      </c>
      <c r="I694" s="17">
        <f>IF(A694="","",A694*Calculator!$B$5*Calculator!$B$8/3600)</f>
        <v/>
      </c>
      <c r="J694" s="12">
        <f>IF(A694="","",Calculator!$B$35-E694)</f>
        <v/>
      </c>
    </row>
    <row r="695">
      <c r="A695" s="15">
        <f>IF(693/1000&lt;=Calculator!$B$27+0.0000001,693/1000,"")</f>
        <v/>
      </c>
      <c r="B695" s="15">
        <f>IF(A695="","",A695/Calculator!$B$27)</f>
        <v/>
      </c>
      <c r="C695" s="15">
        <f>IF(A695="","",Calculator!$B$27-A695)</f>
        <v/>
      </c>
      <c r="D695" s="17">
        <f>IF(A695="","",(Calculator!$B$11+C695)*Calculator!$B$5)</f>
        <v/>
      </c>
      <c r="E695" s="12">
        <f>IF(A695="","",IF(Calculator!$B$17=1,ROUNDUP(D695*Calculator!$B$8/3600/Calculator!$B$24-0.000000001,0),D695*Calculator!$B$8/3600/Calculator!$B$24))</f>
        <v/>
      </c>
      <c r="F695" s="16">
        <f>IF(A695="","",IF(Calculator!$B$16=1,Calculator!$B$27,A695)*Calculator!$B$5*Calculator!$B$15)</f>
        <v/>
      </c>
      <c r="G695" s="16">
        <f>IF(A695="","",E695*Calculator!$B$6+Calculator!$C$37+F695+Calculator!$B$30)</f>
        <v/>
      </c>
      <c r="H695" s="16">
        <f>IF(A695="","",Calculator!$B$40-G695)</f>
        <v/>
      </c>
      <c r="I695" s="17">
        <f>IF(A695="","",A695*Calculator!$B$5*Calculator!$B$8/3600)</f>
        <v/>
      </c>
      <c r="J695" s="12">
        <f>IF(A695="","",Calculator!$B$35-E695)</f>
        <v/>
      </c>
    </row>
    <row r="696">
      <c r="A696" s="15">
        <f>IF(694/1000&lt;=Calculator!$B$27+0.0000001,694/1000,"")</f>
        <v/>
      </c>
      <c r="B696" s="15">
        <f>IF(A696="","",A696/Calculator!$B$27)</f>
        <v/>
      </c>
      <c r="C696" s="15">
        <f>IF(A696="","",Calculator!$B$27-A696)</f>
        <v/>
      </c>
      <c r="D696" s="17">
        <f>IF(A696="","",(Calculator!$B$11+C696)*Calculator!$B$5)</f>
        <v/>
      </c>
      <c r="E696" s="12">
        <f>IF(A696="","",IF(Calculator!$B$17=1,ROUNDUP(D696*Calculator!$B$8/3600/Calculator!$B$24-0.000000001,0),D696*Calculator!$B$8/3600/Calculator!$B$24))</f>
        <v/>
      </c>
      <c r="F696" s="16">
        <f>IF(A696="","",IF(Calculator!$B$16=1,Calculator!$B$27,A696)*Calculator!$B$5*Calculator!$B$15)</f>
        <v/>
      </c>
      <c r="G696" s="16">
        <f>IF(A696="","",E696*Calculator!$B$6+Calculator!$C$37+F696+Calculator!$B$30)</f>
        <v/>
      </c>
      <c r="H696" s="16">
        <f>IF(A696="","",Calculator!$B$40-G696)</f>
        <v/>
      </c>
      <c r="I696" s="17">
        <f>IF(A696="","",A696*Calculator!$B$5*Calculator!$B$8/3600)</f>
        <v/>
      </c>
      <c r="J696" s="12">
        <f>IF(A696="","",Calculator!$B$35-E696)</f>
        <v/>
      </c>
    </row>
    <row r="697">
      <c r="A697" s="15">
        <f>IF(695/1000&lt;=Calculator!$B$27+0.0000001,695/1000,"")</f>
        <v/>
      </c>
      <c r="B697" s="15">
        <f>IF(A697="","",A697/Calculator!$B$27)</f>
        <v/>
      </c>
      <c r="C697" s="15">
        <f>IF(A697="","",Calculator!$B$27-A697)</f>
        <v/>
      </c>
      <c r="D697" s="17">
        <f>IF(A697="","",(Calculator!$B$11+C697)*Calculator!$B$5)</f>
        <v/>
      </c>
      <c r="E697" s="12">
        <f>IF(A697="","",IF(Calculator!$B$17=1,ROUNDUP(D697*Calculator!$B$8/3600/Calculator!$B$24-0.000000001,0),D697*Calculator!$B$8/3600/Calculator!$B$24))</f>
        <v/>
      </c>
      <c r="F697" s="16">
        <f>IF(A697="","",IF(Calculator!$B$16=1,Calculator!$B$27,A697)*Calculator!$B$5*Calculator!$B$15)</f>
        <v/>
      </c>
      <c r="G697" s="16">
        <f>IF(A697="","",E697*Calculator!$B$6+Calculator!$C$37+F697+Calculator!$B$30)</f>
        <v/>
      </c>
      <c r="H697" s="16">
        <f>IF(A697="","",Calculator!$B$40-G697)</f>
        <v/>
      </c>
      <c r="I697" s="17">
        <f>IF(A697="","",A697*Calculator!$B$5*Calculator!$B$8/3600)</f>
        <v/>
      </c>
      <c r="J697" s="12">
        <f>IF(A697="","",Calculator!$B$35-E697)</f>
        <v/>
      </c>
    </row>
    <row r="698">
      <c r="A698" s="15">
        <f>IF(696/1000&lt;=Calculator!$B$27+0.0000001,696/1000,"")</f>
        <v/>
      </c>
      <c r="B698" s="15">
        <f>IF(A698="","",A698/Calculator!$B$27)</f>
        <v/>
      </c>
      <c r="C698" s="15">
        <f>IF(A698="","",Calculator!$B$27-A698)</f>
        <v/>
      </c>
      <c r="D698" s="17">
        <f>IF(A698="","",(Calculator!$B$11+C698)*Calculator!$B$5)</f>
        <v/>
      </c>
      <c r="E698" s="12">
        <f>IF(A698="","",IF(Calculator!$B$17=1,ROUNDUP(D698*Calculator!$B$8/3600/Calculator!$B$24-0.000000001,0),D698*Calculator!$B$8/3600/Calculator!$B$24))</f>
        <v/>
      </c>
      <c r="F698" s="16">
        <f>IF(A698="","",IF(Calculator!$B$16=1,Calculator!$B$27,A698)*Calculator!$B$5*Calculator!$B$15)</f>
        <v/>
      </c>
      <c r="G698" s="16">
        <f>IF(A698="","",E698*Calculator!$B$6+Calculator!$C$37+F698+Calculator!$B$30)</f>
        <v/>
      </c>
      <c r="H698" s="16">
        <f>IF(A698="","",Calculator!$B$40-G698)</f>
        <v/>
      </c>
      <c r="I698" s="17">
        <f>IF(A698="","",A698*Calculator!$B$5*Calculator!$B$8/3600)</f>
        <v/>
      </c>
      <c r="J698" s="12">
        <f>IF(A698="","",Calculator!$B$35-E698)</f>
        <v/>
      </c>
    </row>
    <row r="699">
      <c r="A699" s="15">
        <f>IF(697/1000&lt;=Calculator!$B$27+0.0000001,697/1000,"")</f>
        <v/>
      </c>
      <c r="B699" s="15">
        <f>IF(A699="","",A699/Calculator!$B$27)</f>
        <v/>
      </c>
      <c r="C699" s="15">
        <f>IF(A699="","",Calculator!$B$27-A699)</f>
        <v/>
      </c>
      <c r="D699" s="17">
        <f>IF(A699="","",(Calculator!$B$11+C699)*Calculator!$B$5)</f>
        <v/>
      </c>
      <c r="E699" s="12">
        <f>IF(A699="","",IF(Calculator!$B$17=1,ROUNDUP(D699*Calculator!$B$8/3600/Calculator!$B$24-0.000000001,0),D699*Calculator!$B$8/3600/Calculator!$B$24))</f>
        <v/>
      </c>
      <c r="F699" s="16">
        <f>IF(A699="","",IF(Calculator!$B$16=1,Calculator!$B$27,A699)*Calculator!$B$5*Calculator!$B$15)</f>
        <v/>
      </c>
      <c r="G699" s="16">
        <f>IF(A699="","",E699*Calculator!$B$6+Calculator!$C$37+F699+Calculator!$B$30)</f>
        <v/>
      </c>
      <c r="H699" s="16">
        <f>IF(A699="","",Calculator!$B$40-G699)</f>
        <v/>
      </c>
      <c r="I699" s="17">
        <f>IF(A699="","",A699*Calculator!$B$5*Calculator!$B$8/3600)</f>
        <v/>
      </c>
      <c r="J699" s="12">
        <f>IF(A699="","",Calculator!$B$35-E699)</f>
        <v/>
      </c>
    </row>
    <row r="700">
      <c r="A700" s="15">
        <f>IF(698/1000&lt;=Calculator!$B$27+0.0000001,698/1000,"")</f>
        <v/>
      </c>
      <c r="B700" s="15">
        <f>IF(A700="","",A700/Calculator!$B$27)</f>
        <v/>
      </c>
      <c r="C700" s="15">
        <f>IF(A700="","",Calculator!$B$27-A700)</f>
        <v/>
      </c>
      <c r="D700" s="17">
        <f>IF(A700="","",(Calculator!$B$11+C700)*Calculator!$B$5)</f>
        <v/>
      </c>
      <c r="E700" s="12">
        <f>IF(A700="","",IF(Calculator!$B$17=1,ROUNDUP(D700*Calculator!$B$8/3600/Calculator!$B$24-0.000000001,0),D700*Calculator!$B$8/3600/Calculator!$B$24))</f>
        <v/>
      </c>
      <c r="F700" s="16">
        <f>IF(A700="","",IF(Calculator!$B$16=1,Calculator!$B$27,A700)*Calculator!$B$5*Calculator!$B$15)</f>
        <v/>
      </c>
      <c r="G700" s="16">
        <f>IF(A700="","",E700*Calculator!$B$6+Calculator!$C$37+F700+Calculator!$B$30)</f>
        <v/>
      </c>
      <c r="H700" s="16">
        <f>IF(A700="","",Calculator!$B$40-G700)</f>
        <v/>
      </c>
      <c r="I700" s="17">
        <f>IF(A700="","",A700*Calculator!$B$5*Calculator!$B$8/3600)</f>
        <v/>
      </c>
      <c r="J700" s="12">
        <f>IF(A700="","",Calculator!$B$35-E700)</f>
        <v/>
      </c>
    </row>
    <row r="701">
      <c r="A701" s="15">
        <f>IF(699/1000&lt;=Calculator!$B$27+0.0000001,699/1000,"")</f>
        <v/>
      </c>
      <c r="B701" s="15">
        <f>IF(A701="","",A701/Calculator!$B$27)</f>
        <v/>
      </c>
      <c r="C701" s="15">
        <f>IF(A701="","",Calculator!$B$27-A701)</f>
        <v/>
      </c>
      <c r="D701" s="17">
        <f>IF(A701="","",(Calculator!$B$11+C701)*Calculator!$B$5)</f>
        <v/>
      </c>
      <c r="E701" s="12">
        <f>IF(A701="","",IF(Calculator!$B$17=1,ROUNDUP(D701*Calculator!$B$8/3600/Calculator!$B$24-0.000000001,0),D701*Calculator!$B$8/3600/Calculator!$B$24))</f>
        <v/>
      </c>
      <c r="F701" s="16">
        <f>IF(A701="","",IF(Calculator!$B$16=1,Calculator!$B$27,A701)*Calculator!$B$5*Calculator!$B$15)</f>
        <v/>
      </c>
      <c r="G701" s="16">
        <f>IF(A701="","",E701*Calculator!$B$6+Calculator!$C$37+F701+Calculator!$B$30)</f>
        <v/>
      </c>
      <c r="H701" s="16">
        <f>IF(A701="","",Calculator!$B$40-G701)</f>
        <v/>
      </c>
      <c r="I701" s="17">
        <f>IF(A701="","",A701*Calculator!$B$5*Calculator!$B$8/3600)</f>
        <v/>
      </c>
      <c r="J701" s="12">
        <f>IF(A701="","",Calculator!$B$35-E701)</f>
        <v/>
      </c>
    </row>
    <row r="702">
      <c r="A702" s="15">
        <f>IF(700/1000&lt;=Calculator!$B$27+0.0000001,700/1000,"")</f>
        <v/>
      </c>
      <c r="B702" s="15">
        <f>IF(A702="","",A702/Calculator!$B$27)</f>
        <v/>
      </c>
      <c r="C702" s="15">
        <f>IF(A702="","",Calculator!$B$27-A702)</f>
        <v/>
      </c>
      <c r="D702" s="17">
        <f>IF(A702="","",(Calculator!$B$11+C702)*Calculator!$B$5)</f>
        <v/>
      </c>
      <c r="E702" s="12">
        <f>IF(A702="","",IF(Calculator!$B$17=1,ROUNDUP(D702*Calculator!$B$8/3600/Calculator!$B$24-0.000000001,0),D702*Calculator!$B$8/3600/Calculator!$B$24))</f>
        <v/>
      </c>
      <c r="F702" s="16">
        <f>IF(A702="","",IF(Calculator!$B$16=1,Calculator!$B$27,A702)*Calculator!$B$5*Calculator!$B$15)</f>
        <v/>
      </c>
      <c r="G702" s="16">
        <f>IF(A702="","",E702*Calculator!$B$6+Calculator!$C$37+F702+Calculator!$B$30)</f>
        <v/>
      </c>
      <c r="H702" s="16">
        <f>IF(A702="","",Calculator!$B$40-G702)</f>
        <v/>
      </c>
      <c r="I702" s="17">
        <f>IF(A702="","",A702*Calculator!$B$5*Calculator!$B$8/3600)</f>
        <v/>
      </c>
      <c r="J702" s="12">
        <f>IF(A702="","",Calculator!$B$35-E702)</f>
        <v/>
      </c>
    </row>
    <row r="703">
      <c r="A703" s="15">
        <f>IF(701/1000&lt;=Calculator!$B$27+0.0000001,701/1000,"")</f>
        <v/>
      </c>
      <c r="B703" s="15">
        <f>IF(A703="","",A703/Calculator!$B$27)</f>
        <v/>
      </c>
      <c r="C703" s="15">
        <f>IF(A703="","",Calculator!$B$27-A703)</f>
        <v/>
      </c>
      <c r="D703" s="17">
        <f>IF(A703="","",(Calculator!$B$11+C703)*Calculator!$B$5)</f>
        <v/>
      </c>
      <c r="E703" s="12">
        <f>IF(A703="","",IF(Calculator!$B$17=1,ROUNDUP(D703*Calculator!$B$8/3600/Calculator!$B$24-0.000000001,0),D703*Calculator!$B$8/3600/Calculator!$B$24))</f>
        <v/>
      </c>
      <c r="F703" s="16">
        <f>IF(A703="","",IF(Calculator!$B$16=1,Calculator!$B$27,A703)*Calculator!$B$5*Calculator!$B$15)</f>
        <v/>
      </c>
      <c r="G703" s="16">
        <f>IF(A703="","",E703*Calculator!$B$6+Calculator!$C$37+F703+Calculator!$B$30)</f>
        <v/>
      </c>
      <c r="H703" s="16">
        <f>IF(A703="","",Calculator!$B$40-G703)</f>
        <v/>
      </c>
      <c r="I703" s="17">
        <f>IF(A703="","",A703*Calculator!$B$5*Calculator!$B$8/3600)</f>
        <v/>
      </c>
      <c r="J703" s="12">
        <f>IF(A703="","",Calculator!$B$35-E703)</f>
        <v/>
      </c>
    </row>
    <row r="704">
      <c r="A704" s="15">
        <f>IF(702/1000&lt;=Calculator!$B$27+0.0000001,702/1000,"")</f>
        <v/>
      </c>
      <c r="B704" s="15">
        <f>IF(A704="","",A704/Calculator!$B$27)</f>
        <v/>
      </c>
      <c r="C704" s="15">
        <f>IF(A704="","",Calculator!$B$27-A704)</f>
        <v/>
      </c>
      <c r="D704" s="17">
        <f>IF(A704="","",(Calculator!$B$11+C704)*Calculator!$B$5)</f>
        <v/>
      </c>
      <c r="E704" s="12">
        <f>IF(A704="","",IF(Calculator!$B$17=1,ROUNDUP(D704*Calculator!$B$8/3600/Calculator!$B$24-0.000000001,0),D704*Calculator!$B$8/3600/Calculator!$B$24))</f>
        <v/>
      </c>
      <c r="F704" s="16">
        <f>IF(A704="","",IF(Calculator!$B$16=1,Calculator!$B$27,A704)*Calculator!$B$5*Calculator!$B$15)</f>
        <v/>
      </c>
      <c r="G704" s="16">
        <f>IF(A704="","",E704*Calculator!$B$6+Calculator!$C$37+F704+Calculator!$B$30)</f>
        <v/>
      </c>
      <c r="H704" s="16">
        <f>IF(A704="","",Calculator!$B$40-G704)</f>
        <v/>
      </c>
      <c r="I704" s="17">
        <f>IF(A704="","",A704*Calculator!$B$5*Calculator!$B$8/3600)</f>
        <v/>
      </c>
      <c r="J704" s="12">
        <f>IF(A704="","",Calculator!$B$35-E704)</f>
        <v/>
      </c>
    </row>
    <row r="705">
      <c r="A705" s="15">
        <f>IF(703/1000&lt;=Calculator!$B$27+0.0000001,703/1000,"")</f>
        <v/>
      </c>
      <c r="B705" s="15">
        <f>IF(A705="","",A705/Calculator!$B$27)</f>
        <v/>
      </c>
      <c r="C705" s="15">
        <f>IF(A705="","",Calculator!$B$27-A705)</f>
        <v/>
      </c>
      <c r="D705" s="17">
        <f>IF(A705="","",(Calculator!$B$11+C705)*Calculator!$B$5)</f>
        <v/>
      </c>
      <c r="E705" s="12">
        <f>IF(A705="","",IF(Calculator!$B$17=1,ROUNDUP(D705*Calculator!$B$8/3600/Calculator!$B$24-0.000000001,0),D705*Calculator!$B$8/3600/Calculator!$B$24))</f>
        <v/>
      </c>
      <c r="F705" s="16">
        <f>IF(A705="","",IF(Calculator!$B$16=1,Calculator!$B$27,A705)*Calculator!$B$5*Calculator!$B$15)</f>
        <v/>
      </c>
      <c r="G705" s="16">
        <f>IF(A705="","",E705*Calculator!$B$6+Calculator!$C$37+F705+Calculator!$B$30)</f>
        <v/>
      </c>
      <c r="H705" s="16">
        <f>IF(A705="","",Calculator!$B$40-G705)</f>
        <v/>
      </c>
      <c r="I705" s="17">
        <f>IF(A705="","",A705*Calculator!$B$5*Calculator!$B$8/3600)</f>
        <v/>
      </c>
      <c r="J705" s="12">
        <f>IF(A705="","",Calculator!$B$35-E705)</f>
        <v/>
      </c>
    </row>
    <row r="706">
      <c r="A706" s="15">
        <f>IF(704/1000&lt;=Calculator!$B$27+0.0000001,704/1000,"")</f>
        <v/>
      </c>
      <c r="B706" s="15">
        <f>IF(A706="","",A706/Calculator!$B$27)</f>
        <v/>
      </c>
      <c r="C706" s="15">
        <f>IF(A706="","",Calculator!$B$27-A706)</f>
        <v/>
      </c>
      <c r="D706" s="17">
        <f>IF(A706="","",(Calculator!$B$11+C706)*Calculator!$B$5)</f>
        <v/>
      </c>
      <c r="E706" s="12">
        <f>IF(A706="","",IF(Calculator!$B$17=1,ROUNDUP(D706*Calculator!$B$8/3600/Calculator!$B$24-0.000000001,0),D706*Calculator!$B$8/3600/Calculator!$B$24))</f>
        <v/>
      </c>
      <c r="F706" s="16">
        <f>IF(A706="","",IF(Calculator!$B$16=1,Calculator!$B$27,A706)*Calculator!$B$5*Calculator!$B$15)</f>
        <v/>
      </c>
      <c r="G706" s="16">
        <f>IF(A706="","",E706*Calculator!$B$6+Calculator!$C$37+F706+Calculator!$B$30)</f>
        <v/>
      </c>
      <c r="H706" s="16">
        <f>IF(A706="","",Calculator!$B$40-G706)</f>
        <v/>
      </c>
      <c r="I706" s="17">
        <f>IF(A706="","",A706*Calculator!$B$5*Calculator!$B$8/3600)</f>
        <v/>
      </c>
      <c r="J706" s="12">
        <f>IF(A706="","",Calculator!$B$35-E706)</f>
        <v/>
      </c>
    </row>
    <row r="707">
      <c r="A707" s="15">
        <f>IF(705/1000&lt;=Calculator!$B$27+0.0000001,705/1000,"")</f>
        <v/>
      </c>
      <c r="B707" s="15">
        <f>IF(A707="","",A707/Calculator!$B$27)</f>
        <v/>
      </c>
      <c r="C707" s="15">
        <f>IF(A707="","",Calculator!$B$27-A707)</f>
        <v/>
      </c>
      <c r="D707" s="17">
        <f>IF(A707="","",(Calculator!$B$11+C707)*Calculator!$B$5)</f>
        <v/>
      </c>
      <c r="E707" s="12">
        <f>IF(A707="","",IF(Calculator!$B$17=1,ROUNDUP(D707*Calculator!$B$8/3600/Calculator!$B$24-0.000000001,0),D707*Calculator!$B$8/3600/Calculator!$B$24))</f>
        <v/>
      </c>
      <c r="F707" s="16">
        <f>IF(A707="","",IF(Calculator!$B$16=1,Calculator!$B$27,A707)*Calculator!$B$5*Calculator!$B$15)</f>
        <v/>
      </c>
      <c r="G707" s="16">
        <f>IF(A707="","",E707*Calculator!$B$6+Calculator!$C$37+F707+Calculator!$B$30)</f>
        <v/>
      </c>
      <c r="H707" s="16">
        <f>IF(A707="","",Calculator!$B$40-G707)</f>
        <v/>
      </c>
      <c r="I707" s="17">
        <f>IF(A707="","",A707*Calculator!$B$5*Calculator!$B$8/3600)</f>
        <v/>
      </c>
      <c r="J707" s="12">
        <f>IF(A707="","",Calculator!$B$35-E707)</f>
        <v/>
      </c>
    </row>
    <row r="708">
      <c r="A708" s="15">
        <f>IF(706/1000&lt;=Calculator!$B$27+0.0000001,706/1000,"")</f>
        <v/>
      </c>
      <c r="B708" s="15">
        <f>IF(A708="","",A708/Calculator!$B$27)</f>
        <v/>
      </c>
      <c r="C708" s="15">
        <f>IF(A708="","",Calculator!$B$27-A708)</f>
        <v/>
      </c>
      <c r="D708" s="17">
        <f>IF(A708="","",(Calculator!$B$11+C708)*Calculator!$B$5)</f>
        <v/>
      </c>
      <c r="E708" s="12">
        <f>IF(A708="","",IF(Calculator!$B$17=1,ROUNDUP(D708*Calculator!$B$8/3600/Calculator!$B$24-0.000000001,0),D708*Calculator!$B$8/3600/Calculator!$B$24))</f>
        <v/>
      </c>
      <c r="F708" s="16">
        <f>IF(A708="","",IF(Calculator!$B$16=1,Calculator!$B$27,A708)*Calculator!$B$5*Calculator!$B$15)</f>
        <v/>
      </c>
      <c r="G708" s="16">
        <f>IF(A708="","",E708*Calculator!$B$6+Calculator!$C$37+F708+Calculator!$B$30)</f>
        <v/>
      </c>
      <c r="H708" s="16">
        <f>IF(A708="","",Calculator!$B$40-G708)</f>
        <v/>
      </c>
      <c r="I708" s="17">
        <f>IF(A708="","",A708*Calculator!$B$5*Calculator!$B$8/3600)</f>
        <v/>
      </c>
      <c r="J708" s="12">
        <f>IF(A708="","",Calculator!$B$35-E708)</f>
        <v/>
      </c>
    </row>
    <row r="709">
      <c r="A709" s="15">
        <f>IF(707/1000&lt;=Calculator!$B$27+0.0000001,707/1000,"")</f>
        <v/>
      </c>
      <c r="B709" s="15">
        <f>IF(A709="","",A709/Calculator!$B$27)</f>
        <v/>
      </c>
      <c r="C709" s="15">
        <f>IF(A709="","",Calculator!$B$27-A709)</f>
        <v/>
      </c>
      <c r="D709" s="17">
        <f>IF(A709="","",(Calculator!$B$11+C709)*Calculator!$B$5)</f>
        <v/>
      </c>
      <c r="E709" s="12">
        <f>IF(A709="","",IF(Calculator!$B$17=1,ROUNDUP(D709*Calculator!$B$8/3600/Calculator!$B$24-0.000000001,0),D709*Calculator!$B$8/3600/Calculator!$B$24))</f>
        <v/>
      </c>
      <c r="F709" s="16">
        <f>IF(A709="","",IF(Calculator!$B$16=1,Calculator!$B$27,A709)*Calculator!$B$5*Calculator!$B$15)</f>
        <v/>
      </c>
      <c r="G709" s="16">
        <f>IF(A709="","",E709*Calculator!$B$6+Calculator!$C$37+F709+Calculator!$B$30)</f>
        <v/>
      </c>
      <c r="H709" s="16">
        <f>IF(A709="","",Calculator!$B$40-G709)</f>
        <v/>
      </c>
      <c r="I709" s="17">
        <f>IF(A709="","",A709*Calculator!$B$5*Calculator!$B$8/3600)</f>
        <v/>
      </c>
      <c r="J709" s="12">
        <f>IF(A709="","",Calculator!$B$35-E709)</f>
        <v/>
      </c>
    </row>
    <row r="710">
      <c r="A710" s="15">
        <f>IF(708/1000&lt;=Calculator!$B$27+0.0000001,708/1000,"")</f>
        <v/>
      </c>
      <c r="B710" s="15">
        <f>IF(A710="","",A710/Calculator!$B$27)</f>
        <v/>
      </c>
      <c r="C710" s="15">
        <f>IF(A710="","",Calculator!$B$27-A710)</f>
        <v/>
      </c>
      <c r="D710" s="17">
        <f>IF(A710="","",(Calculator!$B$11+C710)*Calculator!$B$5)</f>
        <v/>
      </c>
      <c r="E710" s="12">
        <f>IF(A710="","",IF(Calculator!$B$17=1,ROUNDUP(D710*Calculator!$B$8/3600/Calculator!$B$24-0.000000001,0),D710*Calculator!$B$8/3600/Calculator!$B$24))</f>
        <v/>
      </c>
      <c r="F710" s="16">
        <f>IF(A710="","",IF(Calculator!$B$16=1,Calculator!$B$27,A710)*Calculator!$B$5*Calculator!$B$15)</f>
        <v/>
      </c>
      <c r="G710" s="16">
        <f>IF(A710="","",E710*Calculator!$B$6+Calculator!$C$37+F710+Calculator!$B$30)</f>
        <v/>
      </c>
      <c r="H710" s="16">
        <f>IF(A710="","",Calculator!$B$40-G710)</f>
        <v/>
      </c>
      <c r="I710" s="17">
        <f>IF(A710="","",A710*Calculator!$B$5*Calculator!$B$8/3600)</f>
        <v/>
      </c>
      <c r="J710" s="12">
        <f>IF(A710="","",Calculator!$B$35-E710)</f>
        <v/>
      </c>
    </row>
    <row r="711">
      <c r="A711" s="15">
        <f>IF(709/1000&lt;=Calculator!$B$27+0.0000001,709/1000,"")</f>
        <v/>
      </c>
      <c r="B711" s="15">
        <f>IF(A711="","",A711/Calculator!$B$27)</f>
        <v/>
      </c>
      <c r="C711" s="15">
        <f>IF(A711="","",Calculator!$B$27-A711)</f>
        <v/>
      </c>
      <c r="D711" s="17">
        <f>IF(A711="","",(Calculator!$B$11+C711)*Calculator!$B$5)</f>
        <v/>
      </c>
      <c r="E711" s="12">
        <f>IF(A711="","",IF(Calculator!$B$17=1,ROUNDUP(D711*Calculator!$B$8/3600/Calculator!$B$24-0.000000001,0),D711*Calculator!$B$8/3600/Calculator!$B$24))</f>
        <v/>
      </c>
      <c r="F711" s="16">
        <f>IF(A711="","",IF(Calculator!$B$16=1,Calculator!$B$27,A711)*Calculator!$B$5*Calculator!$B$15)</f>
        <v/>
      </c>
      <c r="G711" s="16">
        <f>IF(A711="","",E711*Calculator!$B$6+Calculator!$C$37+F711+Calculator!$B$30)</f>
        <v/>
      </c>
      <c r="H711" s="16">
        <f>IF(A711="","",Calculator!$B$40-G711)</f>
        <v/>
      </c>
      <c r="I711" s="17">
        <f>IF(A711="","",A711*Calculator!$B$5*Calculator!$B$8/3600)</f>
        <v/>
      </c>
      <c r="J711" s="12">
        <f>IF(A711="","",Calculator!$B$35-E711)</f>
        <v/>
      </c>
    </row>
    <row r="712">
      <c r="A712" s="15">
        <f>IF(710/1000&lt;=Calculator!$B$27+0.0000001,710/1000,"")</f>
        <v/>
      </c>
      <c r="B712" s="15">
        <f>IF(A712="","",A712/Calculator!$B$27)</f>
        <v/>
      </c>
      <c r="C712" s="15">
        <f>IF(A712="","",Calculator!$B$27-A712)</f>
        <v/>
      </c>
      <c r="D712" s="17">
        <f>IF(A712="","",(Calculator!$B$11+C712)*Calculator!$B$5)</f>
        <v/>
      </c>
      <c r="E712" s="12">
        <f>IF(A712="","",IF(Calculator!$B$17=1,ROUNDUP(D712*Calculator!$B$8/3600/Calculator!$B$24-0.000000001,0),D712*Calculator!$B$8/3600/Calculator!$B$24))</f>
        <v/>
      </c>
      <c r="F712" s="16">
        <f>IF(A712="","",IF(Calculator!$B$16=1,Calculator!$B$27,A712)*Calculator!$B$5*Calculator!$B$15)</f>
        <v/>
      </c>
      <c r="G712" s="16">
        <f>IF(A712="","",E712*Calculator!$B$6+Calculator!$C$37+F712+Calculator!$B$30)</f>
        <v/>
      </c>
      <c r="H712" s="16">
        <f>IF(A712="","",Calculator!$B$40-G712)</f>
        <v/>
      </c>
      <c r="I712" s="17">
        <f>IF(A712="","",A712*Calculator!$B$5*Calculator!$B$8/3600)</f>
        <v/>
      </c>
      <c r="J712" s="12">
        <f>IF(A712="","",Calculator!$B$35-E712)</f>
        <v/>
      </c>
    </row>
    <row r="713">
      <c r="A713" s="15">
        <f>IF(711/1000&lt;=Calculator!$B$27+0.0000001,711/1000,"")</f>
        <v/>
      </c>
      <c r="B713" s="15">
        <f>IF(A713="","",A713/Calculator!$B$27)</f>
        <v/>
      </c>
      <c r="C713" s="15">
        <f>IF(A713="","",Calculator!$B$27-A713)</f>
        <v/>
      </c>
      <c r="D713" s="17">
        <f>IF(A713="","",(Calculator!$B$11+C713)*Calculator!$B$5)</f>
        <v/>
      </c>
      <c r="E713" s="12">
        <f>IF(A713="","",IF(Calculator!$B$17=1,ROUNDUP(D713*Calculator!$B$8/3600/Calculator!$B$24-0.000000001,0),D713*Calculator!$B$8/3600/Calculator!$B$24))</f>
        <v/>
      </c>
      <c r="F713" s="16">
        <f>IF(A713="","",IF(Calculator!$B$16=1,Calculator!$B$27,A713)*Calculator!$B$5*Calculator!$B$15)</f>
        <v/>
      </c>
      <c r="G713" s="16">
        <f>IF(A713="","",E713*Calculator!$B$6+Calculator!$C$37+F713+Calculator!$B$30)</f>
        <v/>
      </c>
      <c r="H713" s="16">
        <f>IF(A713="","",Calculator!$B$40-G713)</f>
        <v/>
      </c>
      <c r="I713" s="17">
        <f>IF(A713="","",A713*Calculator!$B$5*Calculator!$B$8/3600)</f>
        <v/>
      </c>
      <c r="J713" s="12">
        <f>IF(A713="","",Calculator!$B$35-E713)</f>
        <v/>
      </c>
    </row>
    <row r="714">
      <c r="A714" s="15">
        <f>IF(712/1000&lt;=Calculator!$B$27+0.0000001,712/1000,"")</f>
        <v/>
      </c>
      <c r="B714" s="15">
        <f>IF(A714="","",A714/Calculator!$B$27)</f>
        <v/>
      </c>
      <c r="C714" s="15">
        <f>IF(A714="","",Calculator!$B$27-A714)</f>
        <v/>
      </c>
      <c r="D714" s="17">
        <f>IF(A714="","",(Calculator!$B$11+C714)*Calculator!$B$5)</f>
        <v/>
      </c>
      <c r="E714" s="12">
        <f>IF(A714="","",IF(Calculator!$B$17=1,ROUNDUP(D714*Calculator!$B$8/3600/Calculator!$B$24-0.000000001,0),D714*Calculator!$B$8/3600/Calculator!$B$24))</f>
        <v/>
      </c>
      <c r="F714" s="16">
        <f>IF(A714="","",IF(Calculator!$B$16=1,Calculator!$B$27,A714)*Calculator!$B$5*Calculator!$B$15)</f>
        <v/>
      </c>
      <c r="G714" s="16">
        <f>IF(A714="","",E714*Calculator!$B$6+Calculator!$C$37+F714+Calculator!$B$30)</f>
        <v/>
      </c>
      <c r="H714" s="16">
        <f>IF(A714="","",Calculator!$B$40-G714)</f>
        <v/>
      </c>
      <c r="I714" s="17">
        <f>IF(A714="","",A714*Calculator!$B$5*Calculator!$B$8/3600)</f>
        <v/>
      </c>
      <c r="J714" s="12">
        <f>IF(A714="","",Calculator!$B$35-E714)</f>
        <v/>
      </c>
    </row>
    <row r="715">
      <c r="A715" s="15">
        <f>IF(713/1000&lt;=Calculator!$B$27+0.0000001,713/1000,"")</f>
        <v/>
      </c>
      <c r="B715" s="15">
        <f>IF(A715="","",A715/Calculator!$B$27)</f>
        <v/>
      </c>
      <c r="C715" s="15">
        <f>IF(A715="","",Calculator!$B$27-A715)</f>
        <v/>
      </c>
      <c r="D715" s="17">
        <f>IF(A715="","",(Calculator!$B$11+C715)*Calculator!$B$5)</f>
        <v/>
      </c>
      <c r="E715" s="12">
        <f>IF(A715="","",IF(Calculator!$B$17=1,ROUNDUP(D715*Calculator!$B$8/3600/Calculator!$B$24-0.000000001,0),D715*Calculator!$B$8/3600/Calculator!$B$24))</f>
        <v/>
      </c>
      <c r="F715" s="16">
        <f>IF(A715="","",IF(Calculator!$B$16=1,Calculator!$B$27,A715)*Calculator!$B$5*Calculator!$B$15)</f>
        <v/>
      </c>
      <c r="G715" s="16">
        <f>IF(A715="","",E715*Calculator!$B$6+Calculator!$C$37+F715+Calculator!$B$30)</f>
        <v/>
      </c>
      <c r="H715" s="16">
        <f>IF(A715="","",Calculator!$B$40-G715)</f>
        <v/>
      </c>
      <c r="I715" s="17">
        <f>IF(A715="","",A715*Calculator!$B$5*Calculator!$B$8/3600)</f>
        <v/>
      </c>
      <c r="J715" s="12">
        <f>IF(A715="","",Calculator!$B$35-E715)</f>
        <v/>
      </c>
    </row>
    <row r="716">
      <c r="A716" s="15">
        <f>IF(714/1000&lt;=Calculator!$B$27+0.0000001,714/1000,"")</f>
        <v/>
      </c>
      <c r="B716" s="15">
        <f>IF(A716="","",A716/Calculator!$B$27)</f>
        <v/>
      </c>
      <c r="C716" s="15">
        <f>IF(A716="","",Calculator!$B$27-A716)</f>
        <v/>
      </c>
      <c r="D716" s="17">
        <f>IF(A716="","",(Calculator!$B$11+C716)*Calculator!$B$5)</f>
        <v/>
      </c>
      <c r="E716" s="12">
        <f>IF(A716="","",IF(Calculator!$B$17=1,ROUNDUP(D716*Calculator!$B$8/3600/Calculator!$B$24-0.000000001,0),D716*Calculator!$B$8/3600/Calculator!$B$24))</f>
        <v/>
      </c>
      <c r="F716" s="16">
        <f>IF(A716="","",IF(Calculator!$B$16=1,Calculator!$B$27,A716)*Calculator!$B$5*Calculator!$B$15)</f>
        <v/>
      </c>
      <c r="G716" s="16">
        <f>IF(A716="","",E716*Calculator!$B$6+Calculator!$C$37+F716+Calculator!$B$30)</f>
        <v/>
      </c>
      <c r="H716" s="16">
        <f>IF(A716="","",Calculator!$B$40-G716)</f>
        <v/>
      </c>
      <c r="I716" s="17">
        <f>IF(A716="","",A716*Calculator!$B$5*Calculator!$B$8/3600)</f>
        <v/>
      </c>
      <c r="J716" s="12">
        <f>IF(A716="","",Calculator!$B$35-E716)</f>
        <v/>
      </c>
    </row>
    <row r="717">
      <c r="A717" s="15">
        <f>IF(715/1000&lt;=Calculator!$B$27+0.0000001,715/1000,"")</f>
        <v/>
      </c>
      <c r="B717" s="15">
        <f>IF(A717="","",A717/Calculator!$B$27)</f>
        <v/>
      </c>
      <c r="C717" s="15">
        <f>IF(A717="","",Calculator!$B$27-A717)</f>
        <v/>
      </c>
      <c r="D717" s="17">
        <f>IF(A717="","",(Calculator!$B$11+C717)*Calculator!$B$5)</f>
        <v/>
      </c>
      <c r="E717" s="12">
        <f>IF(A717="","",IF(Calculator!$B$17=1,ROUNDUP(D717*Calculator!$B$8/3600/Calculator!$B$24-0.000000001,0),D717*Calculator!$B$8/3600/Calculator!$B$24))</f>
        <v/>
      </c>
      <c r="F717" s="16">
        <f>IF(A717="","",IF(Calculator!$B$16=1,Calculator!$B$27,A717)*Calculator!$B$5*Calculator!$B$15)</f>
        <v/>
      </c>
      <c r="G717" s="16">
        <f>IF(A717="","",E717*Calculator!$B$6+Calculator!$C$37+F717+Calculator!$B$30)</f>
        <v/>
      </c>
      <c r="H717" s="16">
        <f>IF(A717="","",Calculator!$B$40-G717)</f>
        <v/>
      </c>
      <c r="I717" s="17">
        <f>IF(A717="","",A717*Calculator!$B$5*Calculator!$B$8/3600)</f>
        <v/>
      </c>
      <c r="J717" s="12">
        <f>IF(A717="","",Calculator!$B$35-E717)</f>
        <v/>
      </c>
    </row>
    <row r="718">
      <c r="A718" s="15">
        <f>IF(716/1000&lt;=Calculator!$B$27+0.0000001,716/1000,"")</f>
        <v/>
      </c>
      <c r="B718" s="15">
        <f>IF(A718="","",A718/Calculator!$B$27)</f>
        <v/>
      </c>
      <c r="C718" s="15">
        <f>IF(A718="","",Calculator!$B$27-A718)</f>
        <v/>
      </c>
      <c r="D718" s="17">
        <f>IF(A718="","",(Calculator!$B$11+C718)*Calculator!$B$5)</f>
        <v/>
      </c>
      <c r="E718" s="12">
        <f>IF(A718="","",IF(Calculator!$B$17=1,ROUNDUP(D718*Calculator!$B$8/3600/Calculator!$B$24-0.000000001,0),D718*Calculator!$B$8/3600/Calculator!$B$24))</f>
        <v/>
      </c>
      <c r="F718" s="16">
        <f>IF(A718="","",IF(Calculator!$B$16=1,Calculator!$B$27,A718)*Calculator!$B$5*Calculator!$B$15)</f>
        <v/>
      </c>
      <c r="G718" s="16">
        <f>IF(A718="","",E718*Calculator!$B$6+Calculator!$C$37+F718+Calculator!$B$30)</f>
        <v/>
      </c>
      <c r="H718" s="16">
        <f>IF(A718="","",Calculator!$B$40-G718)</f>
        <v/>
      </c>
      <c r="I718" s="17">
        <f>IF(A718="","",A718*Calculator!$B$5*Calculator!$B$8/3600)</f>
        <v/>
      </c>
      <c r="J718" s="12">
        <f>IF(A718="","",Calculator!$B$35-E718)</f>
        <v/>
      </c>
    </row>
    <row r="719">
      <c r="A719" s="15">
        <f>IF(717/1000&lt;=Calculator!$B$27+0.0000001,717/1000,"")</f>
        <v/>
      </c>
      <c r="B719" s="15">
        <f>IF(A719="","",A719/Calculator!$B$27)</f>
        <v/>
      </c>
      <c r="C719" s="15">
        <f>IF(A719="","",Calculator!$B$27-A719)</f>
        <v/>
      </c>
      <c r="D719" s="17">
        <f>IF(A719="","",(Calculator!$B$11+C719)*Calculator!$B$5)</f>
        <v/>
      </c>
      <c r="E719" s="12">
        <f>IF(A719="","",IF(Calculator!$B$17=1,ROUNDUP(D719*Calculator!$B$8/3600/Calculator!$B$24-0.000000001,0),D719*Calculator!$B$8/3600/Calculator!$B$24))</f>
        <v/>
      </c>
      <c r="F719" s="16">
        <f>IF(A719="","",IF(Calculator!$B$16=1,Calculator!$B$27,A719)*Calculator!$B$5*Calculator!$B$15)</f>
        <v/>
      </c>
      <c r="G719" s="16">
        <f>IF(A719="","",E719*Calculator!$B$6+Calculator!$C$37+F719+Calculator!$B$30)</f>
        <v/>
      </c>
      <c r="H719" s="16">
        <f>IF(A719="","",Calculator!$B$40-G719)</f>
        <v/>
      </c>
      <c r="I719" s="17">
        <f>IF(A719="","",A719*Calculator!$B$5*Calculator!$B$8/3600)</f>
        <v/>
      </c>
      <c r="J719" s="12">
        <f>IF(A719="","",Calculator!$B$35-E719)</f>
        <v/>
      </c>
    </row>
    <row r="720">
      <c r="A720" s="15">
        <f>IF(718/1000&lt;=Calculator!$B$27+0.0000001,718/1000,"")</f>
        <v/>
      </c>
      <c r="B720" s="15">
        <f>IF(A720="","",A720/Calculator!$B$27)</f>
        <v/>
      </c>
      <c r="C720" s="15">
        <f>IF(A720="","",Calculator!$B$27-A720)</f>
        <v/>
      </c>
      <c r="D720" s="17">
        <f>IF(A720="","",(Calculator!$B$11+C720)*Calculator!$B$5)</f>
        <v/>
      </c>
      <c r="E720" s="12">
        <f>IF(A720="","",IF(Calculator!$B$17=1,ROUNDUP(D720*Calculator!$B$8/3600/Calculator!$B$24-0.000000001,0),D720*Calculator!$B$8/3600/Calculator!$B$24))</f>
        <v/>
      </c>
      <c r="F720" s="16">
        <f>IF(A720="","",IF(Calculator!$B$16=1,Calculator!$B$27,A720)*Calculator!$B$5*Calculator!$B$15)</f>
        <v/>
      </c>
      <c r="G720" s="16">
        <f>IF(A720="","",E720*Calculator!$B$6+Calculator!$C$37+F720+Calculator!$B$30)</f>
        <v/>
      </c>
      <c r="H720" s="16">
        <f>IF(A720="","",Calculator!$B$40-G720)</f>
        <v/>
      </c>
      <c r="I720" s="17">
        <f>IF(A720="","",A720*Calculator!$B$5*Calculator!$B$8/3600)</f>
        <v/>
      </c>
      <c r="J720" s="12">
        <f>IF(A720="","",Calculator!$B$35-E720)</f>
        <v/>
      </c>
    </row>
    <row r="721">
      <c r="A721" s="15">
        <f>IF(719/1000&lt;=Calculator!$B$27+0.0000001,719/1000,"")</f>
        <v/>
      </c>
      <c r="B721" s="15">
        <f>IF(A721="","",A721/Calculator!$B$27)</f>
        <v/>
      </c>
      <c r="C721" s="15">
        <f>IF(A721="","",Calculator!$B$27-A721)</f>
        <v/>
      </c>
      <c r="D721" s="17">
        <f>IF(A721="","",(Calculator!$B$11+C721)*Calculator!$B$5)</f>
        <v/>
      </c>
      <c r="E721" s="12">
        <f>IF(A721="","",IF(Calculator!$B$17=1,ROUNDUP(D721*Calculator!$B$8/3600/Calculator!$B$24-0.000000001,0),D721*Calculator!$B$8/3600/Calculator!$B$24))</f>
        <v/>
      </c>
      <c r="F721" s="16">
        <f>IF(A721="","",IF(Calculator!$B$16=1,Calculator!$B$27,A721)*Calculator!$B$5*Calculator!$B$15)</f>
        <v/>
      </c>
      <c r="G721" s="16">
        <f>IF(A721="","",E721*Calculator!$B$6+Calculator!$C$37+F721+Calculator!$B$30)</f>
        <v/>
      </c>
      <c r="H721" s="16">
        <f>IF(A721="","",Calculator!$B$40-G721)</f>
        <v/>
      </c>
      <c r="I721" s="17">
        <f>IF(A721="","",A721*Calculator!$B$5*Calculator!$B$8/3600)</f>
        <v/>
      </c>
      <c r="J721" s="12">
        <f>IF(A721="","",Calculator!$B$35-E721)</f>
        <v/>
      </c>
    </row>
    <row r="722">
      <c r="A722" s="15">
        <f>IF(720/1000&lt;=Calculator!$B$27+0.0000001,720/1000,"")</f>
        <v/>
      </c>
      <c r="B722" s="15">
        <f>IF(A722="","",A722/Calculator!$B$27)</f>
        <v/>
      </c>
      <c r="C722" s="15">
        <f>IF(A722="","",Calculator!$B$27-A722)</f>
        <v/>
      </c>
      <c r="D722" s="17">
        <f>IF(A722="","",(Calculator!$B$11+C722)*Calculator!$B$5)</f>
        <v/>
      </c>
      <c r="E722" s="12">
        <f>IF(A722="","",IF(Calculator!$B$17=1,ROUNDUP(D722*Calculator!$B$8/3600/Calculator!$B$24-0.000000001,0),D722*Calculator!$B$8/3600/Calculator!$B$24))</f>
        <v/>
      </c>
      <c r="F722" s="16">
        <f>IF(A722="","",IF(Calculator!$B$16=1,Calculator!$B$27,A722)*Calculator!$B$5*Calculator!$B$15)</f>
        <v/>
      </c>
      <c r="G722" s="16">
        <f>IF(A722="","",E722*Calculator!$B$6+Calculator!$C$37+F722+Calculator!$B$30)</f>
        <v/>
      </c>
      <c r="H722" s="16">
        <f>IF(A722="","",Calculator!$B$40-G722)</f>
        <v/>
      </c>
      <c r="I722" s="17">
        <f>IF(A722="","",A722*Calculator!$B$5*Calculator!$B$8/3600)</f>
        <v/>
      </c>
      <c r="J722" s="12">
        <f>IF(A722="","",Calculator!$B$35-E722)</f>
        <v/>
      </c>
    </row>
    <row r="723">
      <c r="A723" s="15">
        <f>IF(721/1000&lt;=Calculator!$B$27+0.0000001,721/1000,"")</f>
        <v/>
      </c>
      <c r="B723" s="15">
        <f>IF(A723="","",A723/Calculator!$B$27)</f>
        <v/>
      </c>
      <c r="C723" s="15">
        <f>IF(A723="","",Calculator!$B$27-A723)</f>
        <v/>
      </c>
      <c r="D723" s="17">
        <f>IF(A723="","",(Calculator!$B$11+C723)*Calculator!$B$5)</f>
        <v/>
      </c>
      <c r="E723" s="12">
        <f>IF(A723="","",IF(Calculator!$B$17=1,ROUNDUP(D723*Calculator!$B$8/3600/Calculator!$B$24-0.000000001,0),D723*Calculator!$B$8/3600/Calculator!$B$24))</f>
        <v/>
      </c>
      <c r="F723" s="16">
        <f>IF(A723="","",IF(Calculator!$B$16=1,Calculator!$B$27,A723)*Calculator!$B$5*Calculator!$B$15)</f>
        <v/>
      </c>
      <c r="G723" s="16">
        <f>IF(A723="","",E723*Calculator!$B$6+Calculator!$C$37+F723+Calculator!$B$30)</f>
        <v/>
      </c>
      <c r="H723" s="16">
        <f>IF(A723="","",Calculator!$B$40-G723)</f>
        <v/>
      </c>
      <c r="I723" s="17">
        <f>IF(A723="","",A723*Calculator!$B$5*Calculator!$B$8/3600)</f>
        <v/>
      </c>
      <c r="J723" s="12">
        <f>IF(A723="","",Calculator!$B$35-E723)</f>
        <v/>
      </c>
    </row>
    <row r="724">
      <c r="A724" s="15">
        <f>IF(722/1000&lt;=Calculator!$B$27+0.0000001,722/1000,"")</f>
        <v/>
      </c>
      <c r="B724" s="15">
        <f>IF(A724="","",A724/Calculator!$B$27)</f>
        <v/>
      </c>
      <c r="C724" s="15">
        <f>IF(A724="","",Calculator!$B$27-A724)</f>
        <v/>
      </c>
      <c r="D724" s="17">
        <f>IF(A724="","",(Calculator!$B$11+C724)*Calculator!$B$5)</f>
        <v/>
      </c>
      <c r="E724" s="12">
        <f>IF(A724="","",IF(Calculator!$B$17=1,ROUNDUP(D724*Calculator!$B$8/3600/Calculator!$B$24-0.000000001,0),D724*Calculator!$B$8/3600/Calculator!$B$24))</f>
        <v/>
      </c>
      <c r="F724" s="16">
        <f>IF(A724="","",IF(Calculator!$B$16=1,Calculator!$B$27,A724)*Calculator!$B$5*Calculator!$B$15)</f>
        <v/>
      </c>
      <c r="G724" s="16">
        <f>IF(A724="","",E724*Calculator!$B$6+Calculator!$C$37+F724+Calculator!$B$30)</f>
        <v/>
      </c>
      <c r="H724" s="16">
        <f>IF(A724="","",Calculator!$B$40-G724)</f>
        <v/>
      </c>
      <c r="I724" s="17">
        <f>IF(A724="","",A724*Calculator!$B$5*Calculator!$B$8/3600)</f>
        <v/>
      </c>
      <c r="J724" s="12">
        <f>IF(A724="","",Calculator!$B$35-E724)</f>
        <v/>
      </c>
    </row>
    <row r="725">
      <c r="A725" s="15">
        <f>IF(723/1000&lt;=Calculator!$B$27+0.0000001,723/1000,"")</f>
        <v/>
      </c>
      <c r="B725" s="15">
        <f>IF(A725="","",A725/Calculator!$B$27)</f>
        <v/>
      </c>
      <c r="C725" s="15">
        <f>IF(A725="","",Calculator!$B$27-A725)</f>
        <v/>
      </c>
      <c r="D725" s="17">
        <f>IF(A725="","",(Calculator!$B$11+C725)*Calculator!$B$5)</f>
        <v/>
      </c>
      <c r="E725" s="12">
        <f>IF(A725="","",IF(Calculator!$B$17=1,ROUNDUP(D725*Calculator!$B$8/3600/Calculator!$B$24-0.000000001,0),D725*Calculator!$B$8/3600/Calculator!$B$24))</f>
        <v/>
      </c>
      <c r="F725" s="16">
        <f>IF(A725="","",IF(Calculator!$B$16=1,Calculator!$B$27,A725)*Calculator!$B$5*Calculator!$B$15)</f>
        <v/>
      </c>
      <c r="G725" s="16">
        <f>IF(A725="","",E725*Calculator!$B$6+Calculator!$C$37+F725+Calculator!$B$30)</f>
        <v/>
      </c>
      <c r="H725" s="16">
        <f>IF(A725="","",Calculator!$B$40-G725)</f>
        <v/>
      </c>
      <c r="I725" s="17">
        <f>IF(A725="","",A725*Calculator!$B$5*Calculator!$B$8/3600)</f>
        <v/>
      </c>
      <c r="J725" s="12">
        <f>IF(A725="","",Calculator!$B$35-E725)</f>
        <v/>
      </c>
    </row>
    <row r="726">
      <c r="A726" s="15">
        <f>IF(724/1000&lt;=Calculator!$B$27+0.0000001,724/1000,"")</f>
        <v/>
      </c>
      <c r="B726" s="15">
        <f>IF(A726="","",A726/Calculator!$B$27)</f>
        <v/>
      </c>
      <c r="C726" s="15">
        <f>IF(A726="","",Calculator!$B$27-A726)</f>
        <v/>
      </c>
      <c r="D726" s="17">
        <f>IF(A726="","",(Calculator!$B$11+C726)*Calculator!$B$5)</f>
        <v/>
      </c>
      <c r="E726" s="12">
        <f>IF(A726="","",IF(Calculator!$B$17=1,ROUNDUP(D726*Calculator!$B$8/3600/Calculator!$B$24-0.000000001,0),D726*Calculator!$B$8/3600/Calculator!$B$24))</f>
        <v/>
      </c>
      <c r="F726" s="16">
        <f>IF(A726="","",IF(Calculator!$B$16=1,Calculator!$B$27,A726)*Calculator!$B$5*Calculator!$B$15)</f>
        <v/>
      </c>
      <c r="G726" s="16">
        <f>IF(A726="","",E726*Calculator!$B$6+Calculator!$C$37+F726+Calculator!$B$30)</f>
        <v/>
      </c>
      <c r="H726" s="16">
        <f>IF(A726="","",Calculator!$B$40-G726)</f>
        <v/>
      </c>
      <c r="I726" s="17">
        <f>IF(A726="","",A726*Calculator!$B$5*Calculator!$B$8/3600)</f>
        <v/>
      </c>
      <c r="J726" s="12">
        <f>IF(A726="","",Calculator!$B$35-E726)</f>
        <v/>
      </c>
    </row>
    <row r="727">
      <c r="A727" s="15">
        <f>IF(725/1000&lt;=Calculator!$B$27+0.0000001,725/1000,"")</f>
        <v/>
      </c>
      <c r="B727" s="15">
        <f>IF(A727="","",A727/Calculator!$B$27)</f>
        <v/>
      </c>
      <c r="C727" s="15">
        <f>IF(A727="","",Calculator!$B$27-A727)</f>
        <v/>
      </c>
      <c r="D727" s="17">
        <f>IF(A727="","",(Calculator!$B$11+C727)*Calculator!$B$5)</f>
        <v/>
      </c>
      <c r="E727" s="12">
        <f>IF(A727="","",IF(Calculator!$B$17=1,ROUNDUP(D727*Calculator!$B$8/3600/Calculator!$B$24-0.000000001,0),D727*Calculator!$B$8/3600/Calculator!$B$24))</f>
        <v/>
      </c>
      <c r="F727" s="16">
        <f>IF(A727="","",IF(Calculator!$B$16=1,Calculator!$B$27,A727)*Calculator!$B$5*Calculator!$B$15)</f>
        <v/>
      </c>
      <c r="G727" s="16">
        <f>IF(A727="","",E727*Calculator!$B$6+Calculator!$C$37+F727+Calculator!$B$30)</f>
        <v/>
      </c>
      <c r="H727" s="16">
        <f>IF(A727="","",Calculator!$B$40-G727)</f>
        <v/>
      </c>
      <c r="I727" s="17">
        <f>IF(A727="","",A727*Calculator!$B$5*Calculator!$B$8/3600)</f>
        <v/>
      </c>
      <c r="J727" s="12">
        <f>IF(A727="","",Calculator!$B$35-E727)</f>
        <v/>
      </c>
    </row>
    <row r="728">
      <c r="A728" s="15">
        <f>IF(726/1000&lt;=Calculator!$B$27+0.0000001,726/1000,"")</f>
        <v/>
      </c>
      <c r="B728" s="15">
        <f>IF(A728="","",A728/Calculator!$B$27)</f>
        <v/>
      </c>
      <c r="C728" s="15">
        <f>IF(A728="","",Calculator!$B$27-A728)</f>
        <v/>
      </c>
      <c r="D728" s="17">
        <f>IF(A728="","",(Calculator!$B$11+C728)*Calculator!$B$5)</f>
        <v/>
      </c>
      <c r="E728" s="12">
        <f>IF(A728="","",IF(Calculator!$B$17=1,ROUNDUP(D728*Calculator!$B$8/3600/Calculator!$B$24-0.000000001,0),D728*Calculator!$B$8/3600/Calculator!$B$24))</f>
        <v/>
      </c>
      <c r="F728" s="16">
        <f>IF(A728="","",IF(Calculator!$B$16=1,Calculator!$B$27,A728)*Calculator!$B$5*Calculator!$B$15)</f>
        <v/>
      </c>
      <c r="G728" s="16">
        <f>IF(A728="","",E728*Calculator!$B$6+Calculator!$C$37+F728+Calculator!$B$30)</f>
        <v/>
      </c>
      <c r="H728" s="16">
        <f>IF(A728="","",Calculator!$B$40-G728)</f>
        <v/>
      </c>
      <c r="I728" s="17">
        <f>IF(A728="","",A728*Calculator!$B$5*Calculator!$B$8/3600)</f>
        <v/>
      </c>
      <c r="J728" s="12">
        <f>IF(A728="","",Calculator!$B$35-E728)</f>
        <v/>
      </c>
    </row>
    <row r="729">
      <c r="A729" s="15">
        <f>IF(727/1000&lt;=Calculator!$B$27+0.0000001,727/1000,"")</f>
        <v/>
      </c>
      <c r="B729" s="15">
        <f>IF(A729="","",A729/Calculator!$B$27)</f>
        <v/>
      </c>
      <c r="C729" s="15">
        <f>IF(A729="","",Calculator!$B$27-A729)</f>
        <v/>
      </c>
      <c r="D729" s="17">
        <f>IF(A729="","",(Calculator!$B$11+C729)*Calculator!$B$5)</f>
        <v/>
      </c>
      <c r="E729" s="12">
        <f>IF(A729="","",IF(Calculator!$B$17=1,ROUNDUP(D729*Calculator!$B$8/3600/Calculator!$B$24-0.000000001,0),D729*Calculator!$B$8/3600/Calculator!$B$24))</f>
        <v/>
      </c>
      <c r="F729" s="16">
        <f>IF(A729="","",IF(Calculator!$B$16=1,Calculator!$B$27,A729)*Calculator!$B$5*Calculator!$B$15)</f>
        <v/>
      </c>
      <c r="G729" s="16">
        <f>IF(A729="","",E729*Calculator!$B$6+Calculator!$C$37+F729+Calculator!$B$30)</f>
        <v/>
      </c>
      <c r="H729" s="16">
        <f>IF(A729="","",Calculator!$B$40-G729)</f>
        <v/>
      </c>
      <c r="I729" s="17">
        <f>IF(A729="","",A729*Calculator!$B$5*Calculator!$B$8/3600)</f>
        <v/>
      </c>
      <c r="J729" s="12">
        <f>IF(A729="","",Calculator!$B$35-E729)</f>
        <v/>
      </c>
    </row>
    <row r="730">
      <c r="A730" s="15">
        <f>IF(728/1000&lt;=Calculator!$B$27+0.0000001,728/1000,"")</f>
        <v/>
      </c>
      <c r="B730" s="15">
        <f>IF(A730="","",A730/Calculator!$B$27)</f>
        <v/>
      </c>
      <c r="C730" s="15">
        <f>IF(A730="","",Calculator!$B$27-A730)</f>
        <v/>
      </c>
      <c r="D730" s="17">
        <f>IF(A730="","",(Calculator!$B$11+C730)*Calculator!$B$5)</f>
        <v/>
      </c>
      <c r="E730" s="12">
        <f>IF(A730="","",IF(Calculator!$B$17=1,ROUNDUP(D730*Calculator!$B$8/3600/Calculator!$B$24-0.000000001,0),D730*Calculator!$B$8/3600/Calculator!$B$24))</f>
        <v/>
      </c>
      <c r="F730" s="16">
        <f>IF(A730="","",IF(Calculator!$B$16=1,Calculator!$B$27,A730)*Calculator!$B$5*Calculator!$B$15)</f>
        <v/>
      </c>
      <c r="G730" s="16">
        <f>IF(A730="","",E730*Calculator!$B$6+Calculator!$C$37+F730+Calculator!$B$30)</f>
        <v/>
      </c>
      <c r="H730" s="16">
        <f>IF(A730="","",Calculator!$B$40-G730)</f>
        <v/>
      </c>
      <c r="I730" s="17">
        <f>IF(A730="","",A730*Calculator!$B$5*Calculator!$B$8/3600)</f>
        <v/>
      </c>
      <c r="J730" s="12">
        <f>IF(A730="","",Calculator!$B$35-E730)</f>
        <v/>
      </c>
    </row>
    <row r="731">
      <c r="A731" s="15">
        <f>IF(729/1000&lt;=Calculator!$B$27+0.0000001,729/1000,"")</f>
        <v/>
      </c>
      <c r="B731" s="15">
        <f>IF(A731="","",A731/Calculator!$B$27)</f>
        <v/>
      </c>
      <c r="C731" s="15">
        <f>IF(A731="","",Calculator!$B$27-A731)</f>
        <v/>
      </c>
      <c r="D731" s="17">
        <f>IF(A731="","",(Calculator!$B$11+C731)*Calculator!$B$5)</f>
        <v/>
      </c>
      <c r="E731" s="12">
        <f>IF(A731="","",IF(Calculator!$B$17=1,ROUNDUP(D731*Calculator!$B$8/3600/Calculator!$B$24-0.000000001,0),D731*Calculator!$B$8/3600/Calculator!$B$24))</f>
        <v/>
      </c>
      <c r="F731" s="16">
        <f>IF(A731="","",IF(Calculator!$B$16=1,Calculator!$B$27,A731)*Calculator!$B$5*Calculator!$B$15)</f>
        <v/>
      </c>
      <c r="G731" s="16">
        <f>IF(A731="","",E731*Calculator!$B$6+Calculator!$C$37+F731+Calculator!$B$30)</f>
        <v/>
      </c>
      <c r="H731" s="16">
        <f>IF(A731="","",Calculator!$B$40-G731)</f>
        <v/>
      </c>
      <c r="I731" s="17">
        <f>IF(A731="","",A731*Calculator!$B$5*Calculator!$B$8/3600)</f>
        <v/>
      </c>
      <c r="J731" s="12">
        <f>IF(A731="","",Calculator!$B$35-E731)</f>
        <v/>
      </c>
    </row>
    <row r="732">
      <c r="A732" s="15">
        <f>IF(730/1000&lt;=Calculator!$B$27+0.0000001,730/1000,"")</f>
        <v/>
      </c>
      <c r="B732" s="15">
        <f>IF(A732="","",A732/Calculator!$B$27)</f>
        <v/>
      </c>
      <c r="C732" s="15">
        <f>IF(A732="","",Calculator!$B$27-A732)</f>
        <v/>
      </c>
      <c r="D732" s="17">
        <f>IF(A732="","",(Calculator!$B$11+C732)*Calculator!$B$5)</f>
        <v/>
      </c>
      <c r="E732" s="12">
        <f>IF(A732="","",IF(Calculator!$B$17=1,ROUNDUP(D732*Calculator!$B$8/3600/Calculator!$B$24-0.000000001,0),D732*Calculator!$B$8/3600/Calculator!$B$24))</f>
        <v/>
      </c>
      <c r="F732" s="16">
        <f>IF(A732="","",IF(Calculator!$B$16=1,Calculator!$B$27,A732)*Calculator!$B$5*Calculator!$B$15)</f>
        <v/>
      </c>
      <c r="G732" s="16">
        <f>IF(A732="","",E732*Calculator!$B$6+Calculator!$C$37+F732+Calculator!$B$30)</f>
        <v/>
      </c>
      <c r="H732" s="16">
        <f>IF(A732="","",Calculator!$B$40-G732)</f>
        <v/>
      </c>
      <c r="I732" s="17">
        <f>IF(A732="","",A732*Calculator!$B$5*Calculator!$B$8/3600)</f>
        <v/>
      </c>
      <c r="J732" s="12">
        <f>IF(A732="","",Calculator!$B$35-E732)</f>
        <v/>
      </c>
    </row>
    <row r="733">
      <c r="A733" s="15">
        <f>IF(731/1000&lt;=Calculator!$B$27+0.0000001,731/1000,"")</f>
        <v/>
      </c>
      <c r="B733" s="15">
        <f>IF(A733="","",A733/Calculator!$B$27)</f>
        <v/>
      </c>
      <c r="C733" s="15">
        <f>IF(A733="","",Calculator!$B$27-A733)</f>
        <v/>
      </c>
      <c r="D733" s="17">
        <f>IF(A733="","",(Calculator!$B$11+C733)*Calculator!$B$5)</f>
        <v/>
      </c>
      <c r="E733" s="12">
        <f>IF(A733="","",IF(Calculator!$B$17=1,ROUNDUP(D733*Calculator!$B$8/3600/Calculator!$B$24-0.000000001,0),D733*Calculator!$B$8/3600/Calculator!$B$24))</f>
        <v/>
      </c>
      <c r="F733" s="16">
        <f>IF(A733="","",IF(Calculator!$B$16=1,Calculator!$B$27,A733)*Calculator!$B$5*Calculator!$B$15)</f>
        <v/>
      </c>
      <c r="G733" s="16">
        <f>IF(A733="","",E733*Calculator!$B$6+Calculator!$C$37+F733+Calculator!$B$30)</f>
        <v/>
      </c>
      <c r="H733" s="16">
        <f>IF(A733="","",Calculator!$B$40-G733)</f>
        <v/>
      </c>
      <c r="I733" s="17">
        <f>IF(A733="","",A733*Calculator!$B$5*Calculator!$B$8/3600)</f>
        <v/>
      </c>
      <c r="J733" s="12">
        <f>IF(A733="","",Calculator!$B$35-E733)</f>
        <v/>
      </c>
    </row>
    <row r="734">
      <c r="A734" s="15">
        <f>IF(732/1000&lt;=Calculator!$B$27+0.0000001,732/1000,"")</f>
        <v/>
      </c>
      <c r="B734" s="15">
        <f>IF(A734="","",A734/Calculator!$B$27)</f>
        <v/>
      </c>
      <c r="C734" s="15">
        <f>IF(A734="","",Calculator!$B$27-A734)</f>
        <v/>
      </c>
      <c r="D734" s="17">
        <f>IF(A734="","",(Calculator!$B$11+C734)*Calculator!$B$5)</f>
        <v/>
      </c>
      <c r="E734" s="12">
        <f>IF(A734="","",IF(Calculator!$B$17=1,ROUNDUP(D734*Calculator!$B$8/3600/Calculator!$B$24-0.000000001,0),D734*Calculator!$B$8/3600/Calculator!$B$24))</f>
        <v/>
      </c>
      <c r="F734" s="16">
        <f>IF(A734="","",IF(Calculator!$B$16=1,Calculator!$B$27,A734)*Calculator!$B$5*Calculator!$B$15)</f>
        <v/>
      </c>
      <c r="G734" s="16">
        <f>IF(A734="","",E734*Calculator!$B$6+Calculator!$C$37+F734+Calculator!$B$30)</f>
        <v/>
      </c>
      <c r="H734" s="16">
        <f>IF(A734="","",Calculator!$B$40-G734)</f>
        <v/>
      </c>
      <c r="I734" s="17">
        <f>IF(A734="","",A734*Calculator!$B$5*Calculator!$B$8/3600)</f>
        <v/>
      </c>
      <c r="J734" s="12">
        <f>IF(A734="","",Calculator!$B$35-E734)</f>
        <v/>
      </c>
    </row>
    <row r="735">
      <c r="A735" s="15">
        <f>IF(733/1000&lt;=Calculator!$B$27+0.0000001,733/1000,"")</f>
        <v/>
      </c>
      <c r="B735" s="15">
        <f>IF(A735="","",A735/Calculator!$B$27)</f>
        <v/>
      </c>
      <c r="C735" s="15">
        <f>IF(A735="","",Calculator!$B$27-A735)</f>
        <v/>
      </c>
      <c r="D735" s="17">
        <f>IF(A735="","",(Calculator!$B$11+C735)*Calculator!$B$5)</f>
        <v/>
      </c>
      <c r="E735" s="12">
        <f>IF(A735="","",IF(Calculator!$B$17=1,ROUNDUP(D735*Calculator!$B$8/3600/Calculator!$B$24-0.000000001,0),D735*Calculator!$B$8/3600/Calculator!$B$24))</f>
        <v/>
      </c>
      <c r="F735" s="16">
        <f>IF(A735="","",IF(Calculator!$B$16=1,Calculator!$B$27,A735)*Calculator!$B$5*Calculator!$B$15)</f>
        <v/>
      </c>
      <c r="G735" s="16">
        <f>IF(A735="","",E735*Calculator!$B$6+Calculator!$C$37+F735+Calculator!$B$30)</f>
        <v/>
      </c>
      <c r="H735" s="16">
        <f>IF(A735="","",Calculator!$B$40-G735)</f>
        <v/>
      </c>
      <c r="I735" s="17">
        <f>IF(A735="","",A735*Calculator!$B$5*Calculator!$B$8/3600)</f>
        <v/>
      </c>
      <c r="J735" s="12">
        <f>IF(A735="","",Calculator!$B$35-E735)</f>
        <v/>
      </c>
    </row>
    <row r="736">
      <c r="A736" s="15">
        <f>IF(734/1000&lt;=Calculator!$B$27+0.0000001,734/1000,"")</f>
        <v/>
      </c>
      <c r="B736" s="15">
        <f>IF(A736="","",A736/Calculator!$B$27)</f>
        <v/>
      </c>
      <c r="C736" s="15">
        <f>IF(A736="","",Calculator!$B$27-A736)</f>
        <v/>
      </c>
      <c r="D736" s="17">
        <f>IF(A736="","",(Calculator!$B$11+C736)*Calculator!$B$5)</f>
        <v/>
      </c>
      <c r="E736" s="12">
        <f>IF(A736="","",IF(Calculator!$B$17=1,ROUNDUP(D736*Calculator!$B$8/3600/Calculator!$B$24-0.000000001,0),D736*Calculator!$B$8/3600/Calculator!$B$24))</f>
        <v/>
      </c>
      <c r="F736" s="16">
        <f>IF(A736="","",IF(Calculator!$B$16=1,Calculator!$B$27,A736)*Calculator!$B$5*Calculator!$B$15)</f>
        <v/>
      </c>
      <c r="G736" s="16">
        <f>IF(A736="","",E736*Calculator!$B$6+Calculator!$C$37+F736+Calculator!$B$30)</f>
        <v/>
      </c>
      <c r="H736" s="16">
        <f>IF(A736="","",Calculator!$B$40-G736)</f>
        <v/>
      </c>
      <c r="I736" s="17">
        <f>IF(A736="","",A736*Calculator!$B$5*Calculator!$B$8/3600)</f>
        <v/>
      </c>
      <c r="J736" s="12">
        <f>IF(A736="","",Calculator!$B$35-E736)</f>
        <v/>
      </c>
    </row>
    <row r="737">
      <c r="A737" s="15">
        <f>IF(735/1000&lt;=Calculator!$B$27+0.0000001,735/1000,"")</f>
        <v/>
      </c>
      <c r="B737" s="15">
        <f>IF(A737="","",A737/Calculator!$B$27)</f>
        <v/>
      </c>
      <c r="C737" s="15">
        <f>IF(A737="","",Calculator!$B$27-A737)</f>
        <v/>
      </c>
      <c r="D737" s="17">
        <f>IF(A737="","",(Calculator!$B$11+C737)*Calculator!$B$5)</f>
        <v/>
      </c>
      <c r="E737" s="12">
        <f>IF(A737="","",IF(Calculator!$B$17=1,ROUNDUP(D737*Calculator!$B$8/3600/Calculator!$B$24-0.000000001,0),D737*Calculator!$B$8/3600/Calculator!$B$24))</f>
        <v/>
      </c>
      <c r="F737" s="16">
        <f>IF(A737="","",IF(Calculator!$B$16=1,Calculator!$B$27,A737)*Calculator!$B$5*Calculator!$B$15)</f>
        <v/>
      </c>
      <c r="G737" s="16">
        <f>IF(A737="","",E737*Calculator!$B$6+Calculator!$C$37+F737+Calculator!$B$30)</f>
        <v/>
      </c>
      <c r="H737" s="16">
        <f>IF(A737="","",Calculator!$B$40-G737)</f>
        <v/>
      </c>
      <c r="I737" s="17">
        <f>IF(A737="","",A737*Calculator!$B$5*Calculator!$B$8/3600)</f>
        <v/>
      </c>
      <c r="J737" s="12">
        <f>IF(A737="","",Calculator!$B$35-E737)</f>
        <v/>
      </c>
    </row>
    <row r="738">
      <c r="A738" s="15">
        <f>IF(736/1000&lt;=Calculator!$B$27+0.0000001,736/1000,"")</f>
        <v/>
      </c>
      <c r="B738" s="15">
        <f>IF(A738="","",A738/Calculator!$B$27)</f>
        <v/>
      </c>
      <c r="C738" s="15">
        <f>IF(A738="","",Calculator!$B$27-A738)</f>
        <v/>
      </c>
      <c r="D738" s="17">
        <f>IF(A738="","",(Calculator!$B$11+C738)*Calculator!$B$5)</f>
        <v/>
      </c>
      <c r="E738" s="12">
        <f>IF(A738="","",IF(Calculator!$B$17=1,ROUNDUP(D738*Calculator!$B$8/3600/Calculator!$B$24-0.000000001,0),D738*Calculator!$B$8/3600/Calculator!$B$24))</f>
        <v/>
      </c>
      <c r="F738" s="16">
        <f>IF(A738="","",IF(Calculator!$B$16=1,Calculator!$B$27,A738)*Calculator!$B$5*Calculator!$B$15)</f>
        <v/>
      </c>
      <c r="G738" s="16">
        <f>IF(A738="","",E738*Calculator!$B$6+Calculator!$C$37+F738+Calculator!$B$30)</f>
        <v/>
      </c>
      <c r="H738" s="16">
        <f>IF(A738="","",Calculator!$B$40-G738)</f>
        <v/>
      </c>
      <c r="I738" s="17">
        <f>IF(A738="","",A738*Calculator!$B$5*Calculator!$B$8/3600)</f>
        <v/>
      </c>
      <c r="J738" s="12">
        <f>IF(A738="","",Calculator!$B$35-E738)</f>
        <v/>
      </c>
    </row>
    <row r="739">
      <c r="A739" s="15">
        <f>IF(737/1000&lt;=Calculator!$B$27+0.0000001,737/1000,"")</f>
        <v/>
      </c>
      <c r="B739" s="15">
        <f>IF(A739="","",A739/Calculator!$B$27)</f>
        <v/>
      </c>
      <c r="C739" s="15">
        <f>IF(A739="","",Calculator!$B$27-A739)</f>
        <v/>
      </c>
      <c r="D739" s="17">
        <f>IF(A739="","",(Calculator!$B$11+C739)*Calculator!$B$5)</f>
        <v/>
      </c>
      <c r="E739" s="12">
        <f>IF(A739="","",IF(Calculator!$B$17=1,ROUNDUP(D739*Calculator!$B$8/3600/Calculator!$B$24-0.000000001,0),D739*Calculator!$B$8/3600/Calculator!$B$24))</f>
        <v/>
      </c>
      <c r="F739" s="16">
        <f>IF(A739="","",IF(Calculator!$B$16=1,Calculator!$B$27,A739)*Calculator!$B$5*Calculator!$B$15)</f>
        <v/>
      </c>
      <c r="G739" s="16">
        <f>IF(A739="","",E739*Calculator!$B$6+Calculator!$C$37+F739+Calculator!$B$30)</f>
        <v/>
      </c>
      <c r="H739" s="16">
        <f>IF(A739="","",Calculator!$B$40-G739)</f>
        <v/>
      </c>
      <c r="I739" s="17">
        <f>IF(A739="","",A739*Calculator!$B$5*Calculator!$B$8/3600)</f>
        <v/>
      </c>
      <c r="J739" s="12">
        <f>IF(A739="","",Calculator!$B$35-E739)</f>
        <v/>
      </c>
    </row>
    <row r="740">
      <c r="A740" s="15">
        <f>IF(738/1000&lt;=Calculator!$B$27+0.0000001,738/1000,"")</f>
        <v/>
      </c>
      <c r="B740" s="15">
        <f>IF(A740="","",A740/Calculator!$B$27)</f>
        <v/>
      </c>
      <c r="C740" s="15">
        <f>IF(A740="","",Calculator!$B$27-A740)</f>
        <v/>
      </c>
      <c r="D740" s="17">
        <f>IF(A740="","",(Calculator!$B$11+C740)*Calculator!$B$5)</f>
        <v/>
      </c>
      <c r="E740" s="12">
        <f>IF(A740="","",IF(Calculator!$B$17=1,ROUNDUP(D740*Calculator!$B$8/3600/Calculator!$B$24-0.000000001,0),D740*Calculator!$B$8/3600/Calculator!$B$24))</f>
        <v/>
      </c>
      <c r="F740" s="16">
        <f>IF(A740="","",IF(Calculator!$B$16=1,Calculator!$B$27,A740)*Calculator!$B$5*Calculator!$B$15)</f>
        <v/>
      </c>
      <c r="G740" s="16">
        <f>IF(A740="","",E740*Calculator!$B$6+Calculator!$C$37+F740+Calculator!$B$30)</f>
        <v/>
      </c>
      <c r="H740" s="16">
        <f>IF(A740="","",Calculator!$B$40-G740)</f>
        <v/>
      </c>
      <c r="I740" s="17">
        <f>IF(A740="","",A740*Calculator!$B$5*Calculator!$B$8/3600)</f>
        <v/>
      </c>
      <c r="J740" s="12">
        <f>IF(A740="","",Calculator!$B$35-E740)</f>
        <v/>
      </c>
    </row>
    <row r="741">
      <c r="A741" s="15">
        <f>IF(739/1000&lt;=Calculator!$B$27+0.0000001,739/1000,"")</f>
        <v/>
      </c>
      <c r="B741" s="15">
        <f>IF(A741="","",A741/Calculator!$B$27)</f>
        <v/>
      </c>
      <c r="C741" s="15">
        <f>IF(A741="","",Calculator!$B$27-A741)</f>
        <v/>
      </c>
      <c r="D741" s="17">
        <f>IF(A741="","",(Calculator!$B$11+C741)*Calculator!$B$5)</f>
        <v/>
      </c>
      <c r="E741" s="12">
        <f>IF(A741="","",IF(Calculator!$B$17=1,ROUNDUP(D741*Calculator!$B$8/3600/Calculator!$B$24-0.000000001,0),D741*Calculator!$B$8/3600/Calculator!$B$24))</f>
        <v/>
      </c>
      <c r="F741" s="16">
        <f>IF(A741="","",IF(Calculator!$B$16=1,Calculator!$B$27,A741)*Calculator!$B$5*Calculator!$B$15)</f>
        <v/>
      </c>
      <c r="G741" s="16">
        <f>IF(A741="","",E741*Calculator!$B$6+Calculator!$C$37+F741+Calculator!$B$30)</f>
        <v/>
      </c>
      <c r="H741" s="16">
        <f>IF(A741="","",Calculator!$B$40-G741)</f>
        <v/>
      </c>
      <c r="I741" s="17">
        <f>IF(A741="","",A741*Calculator!$B$5*Calculator!$B$8/3600)</f>
        <v/>
      </c>
      <c r="J741" s="12">
        <f>IF(A741="","",Calculator!$B$35-E741)</f>
        <v/>
      </c>
    </row>
    <row r="742">
      <c r="A742" s="15">
        <f>IF(740/1000&lt;=Calculator!$B$27+0.0000001,740/1000,"")</f>
        <v/>
      </c>
      <c r="B742" s="15">
        <f>IF(A742="","",A742/Calculator!$B$27)</f>
        <v/>
      </c>
      <c r="C742" s="15">
        <f>IF(A742="","",Calculator!$B$27-A742)</f>
        <v/>
      </c>
      <c r="D742" s="17">
        <f>IF(A742="","",(Calculator!$B$11+C742)*Calculator!$B$5)</f>
        <v/>
      </c>
      <c r="E742" s="12">
        <f>IF(A742="","",IF(Calculator!$B$17=1,ROUNDUP(D742*Calculator!$B$8/3600/Calculator!$B$24-0.000000001,0),D742*Calculator!$B$8/3600/Calculator!$B$24))</f>
        <v/>
      </c>
      <c r="F742" s="16">
        <f>IF(A742="","",IF(Calculator!$B$16=1,Calculator!$B$27,A742)*Calculator!$B$5*Calculator!$B$15)</f>
        <v/>
      </c>
      <c r="G742" s="16">
        <f>IF(A742="","",E742*Calculator!$B$6+Calculator!$C$37+F742+Calculator!$B$30)</f>
        <v/>
      </c>
      <c r="H742" s="16">
        <f>IF(A742="","",Calculator!$B$40-G742)</f>
        <v/>
      </c>
      <c r="I742" s="17">
        <f>IF(A742="","",A742*Calculator!$B$5*Calculator!$B$8/3600)</f>
        <v/>
      </c>
      <c r="J742" s="12">
        <f>IF(A742="","",Calculator!$B$35-E742)</f>
        <v/>
      </c>
    </row>
    <row r="743">
      <c r="A743" s="15">
        <f>IF(741/1000&lt;=Calculator!$B$27+0.0000001,741/1000,"")</f>
        <v/>
      </c>
      <c r="B743" s="15">
        <f>IF(A743="","",A743/Calculator!$B$27)</f>
        <v/>
      </c>
      <c r="C743" s="15">
        <f>IF(A743="","",Calculator!$B$27-A743)</f>
        <v/>
      </c>
      <c r="D743" s="17">
        <f>IF(A743="","",(Calculator!$B$11+C743)*Calculator!$B$5)</f>
        <v/>
      </c>
      <c r="E743" s="12">
        <f>IF(A743="","",IF(Calculator!$B$17=1,ROUNDUP(D743*Calculator!$B$8/3600/Calculator!$B$24-0.000000001,0),D743*Calculator!$B$8/3600/Calculator!$B$24))</f>
        <v/>
      </c>
      <c r="F743" s="16">
        <f>IF(A743="","",IF(Calculator!$B$16=1,Calculator!$B$27,A743)*Calculator!$B$5*Calculator!$B$15)</f>
        <v/>
      </c>
      <c r="G743" s="16">
        <f>IF(A743="","",E743*Calculator!$B$6+Calculator!$C$37+F743+Calculator!$B$30)</f>
        <v/>
      </c>
      <c r="H743" s="16">
        <f>IF(A743="","",Calculator!$B$40-G743)</f>
        <v/>
      </c>
      <c r="I743" s="17">
        <f>IF(A743="","",A743*Calculator!$B$5*Calculator!$B$8/3600)</f>
        <v/>
      </c>
      <c r="J743" s="12">
        <f>IF(A743="","",Calculator!$B$35-E743)</f>
        <v/>
      </c>
    </row>
    <row r="744">
      <c r="A744" s="15">
        <f>IF(742/1000&lt;=Calculator!$B$27+0.0000001,742/1000,"")</f>
        <v/>
      </c>
      <c r="B744" s="15">
        <f>IF(A744="","",A744/Calculator!$B$27)</f>
        <v/>
      </c>
      <c r="C744" s="15">
        <f>IF(A744="","",Calculator!$B$27-A744)</f>
        <v/>
      </c>
      <c r="D744" s="17">
        <f>IF(A744="","",(Calculator!$B$11+C744)*Calculator!$B$5)</f>
        <v/>
      </c>
      <c r="E744" s="12">
        <f>IF(A744="","",IF(Calculator!$B$17=1,ROUNDUP(D744*Calculator!$B$8/3600/Calculator!$B$24-0.000000001,0),D744*Calculator!$B$8/3600/Calculator!$B$24))</f>
        <v/>
      </c>
      <c r="F744" s="16">
        <f>IF(A744="","",IF(Calculator!$B$16=1,Calculator!$B$27,A744)*Calculator!$B$5*Calculator!$B$15)</f>
        <v/>
      </c>
      <c r="G744" s="16">
        <f>IF(A744="","",E744*Calculator!$B$6+Calculator!$C$37+F744+Calculator!$B$30)</f>
        <v/>
      </c>
      <c r="H744" s="16">
        <f>IF(A744="","",Calculator!$B$40-G744)</f>
        <v/>
      </c>
      <c r="I744" s="17">
        <f>IF(A744="","",A744*Calculator!$B$5*Calculator!$B$8/3600)</f>
        <v/>
      </c>
      <c r="J744" s="12">
        <f>IF(A744="","",Calculator!$B$35-E744)</f>
        <v/>
      </c>
    </row>
    <row r="745">
      <c r="A745" s="15">
        <f>IF(743/1000&lt;=Calculator!$B$27+0.0000001,743/1000,"")</f>
        <v/>
      </c>
      <c r="B745" s="15">
        <f>IF(A745="","",A745/Calculator!$B$27)</f>
        <v/>
      </c>
      <c r="C745" s="15">
        <f>IF(A745="","",Calculator!$B$27-A745)</f>
        <v/>
      </c>
      <c r="D745" s="17">
        <f>IF(A745="","",(Calculator!$B$11+C745)*Calculator!$B$5)</f>
        <v/>
      </c>
      <c r="E745" s="12">
        <f>IF(A745="","",IF(Calculator!$B$17=1,ROUNDUP(D745*Calculator!$B$8/3600/Calculator!$B$24-0.000000001,0),D745*Calculator!$B$8/3600/Calculator!$B$24))</f>
        <v/>
      </c>
      <c r="F745" s="16">
        <f>IF(A745="","",IF(Calculator!$B$16=1,Calculator!$B$27,A745)*Calculator!$B$5*Calculator!$B$15)</f>
        <v/>
      </c>
      <c r="G745" s="16">
        <f>IF(A745="","",E745*Calculator!$B$6+Calculator!$C$37+F745+Calculator!$B$30)</f>
        <v/>
      </c>
      <c r="H745" s="16">
        <f>IF(A745="","",Calculator!$B$40-G745)</f>
        <v/>
      </c>
      <c r="I745" s="17">
        <f>IF(A745="","",A745*Calculator!$B$5*Calculator!$B$8/3600)</f>
        <v/>
      </c>
      <c r="J745" s="12">
        <f>IF(A745="","",Calculator!$B$35-E745)</f>
        <v/>
      </c>
    </row>
    <row r="746">
      <c r="A746" s="15">
        <f>IF(744/1000&lt;=Calculator!$B$27+0.0000001,744/1000,"")</f>
        <v/>
      </c>
      <c r="B746" s="15">
        <f>IF(A746="","",A746/Calculator!$B$27)</f>
        <v/>
      </c>
      <c r="C746" s="15">
        <f>IF(A746="","",Calculator!$B$27-A746)</f>
        <v/>
      </c>
      <c r="D746" s="17">
        <f>IF(A746="","",(Calculator!$B$11+C746)*Calculator!$B$5)</f>
        <v/>
      </c>
      <c r="E746" s="12">
        <f>IF(A746="","",IF(Calculator!$B$17=1,ROUNDUP(D746*Calculator!$B$8/3600/Calculator!$B$24-0.000000001,0),D746*Calculator!$B$8/3600/Calculator!$B$24))</f>
        <v/>
      </c>
      <c r="F746" s="16">
        <f>IF(A746="","",IF(Calculator!$B$16=1,Calculator!$B$27,A746)*Calculator!$B$5*Calculator!$B$15)</f>
        <v/>
      </c>
      <c r="G746" s="16">
        <f>IF(A746="","",E746*Calculator!$B$6+Calculator!$C$37+F746+Calculator!$B$30)</f>
        <v/>
      </c>
      <c r="H746" s="16">
        <f>IF(A746="","",Calculator!$B$40-G746)</f>
        <v/>
      </c>
      <c r="I746" s="17">
        <f>IF(A746="","",A746*Calculator!$B$5*Calculator!$B$8/3600)</f>
        <v/>
      </c>
      <c r="J746" s="12">
        <f>IF(A746="","",Calculator!$B$35-E746)</f>
        <v/>
      </c>
    </row>
    <row r="747">
      <c r="A747" s="15">
        <f>IF(745/1000&lt;=Calculator!$B$27+0.0000001,745/1000,"")</f>
        <v/>
      </c>
      <c r="B747" s="15">
        <f>IF(A747="","",A747/Calculator!$B$27)</f>
        <v/>
      </c>
      <c r="C747" s="15">
        <f>IF(A747="","",Calculator!$B$27-A747)</f>
        <v/>
      </c>
      <c r="D747" s="17">
        <f>IF(A747="","",(Calculator!$B$11+C747)*Calculator!$B$5)</f>
        <v/>
      </c>
      <c r="E747" s="12">
        <f>IF(A747="","",IF(Calculator!$B$17=1,ROUNDUP(D747*Calculator!$B$8/3600/Calculator!$B$24-0.000000001,0),D747*Calculator!$B$8/3600/Calculator!$B$24))</f>
        <v/>
      </c>
      <c r="F747" s="16">
        <f>IF(A747="","",IF(Calculator!$B$16=1,Calculator!$B$27,A747)*Calculator!$B$5*Calculator!$B$15)</f>
        <v/>
      </c>
      <c r="G747" s="16">
        <f>IF(A747="","",E747*Calculator!$B$6+Calculator!$C$37+F747+Calculator!$B$30)</f>
        <v/>
      </c>
      <c r="H747" s="16">
        <f>IF(A747="","",Calculator!$B$40-G747)</f>
        <v/>
      </c>
      <c r="I747" s="17">
        <f>IF(A747="","",A747*Calculator!$B$5*Calculator!$B$8/3600)</f>
        <v/>
      </c>
      <c r="J747" s="12">
        <f>IF(A747="","",Calculator!$B$35-E747)</f>
        <v/>
      </c>
    </row>
    <row r="748">
      <c r="A748" s="15">
        <f>IF(746/1000&lt;=Calculator!$B$27+0.0000001,746/1000,"")</f>
        <v/>
      </c>
      <c r="B748" s="15">
        <f>IF(A748="","",A748/Calculator!$B$27)</f>
        <v/>
      </c>
      <c r="C748" s="15">
        <f>IF(A748="","",Calculator!$B$27-A748)</f>
        <v/>
      </c>
      <c r="D748" s="17">
        <f>IF(A748="","",(Calculator!$B$11+C748)*Calculator!$B$5)</f>
        <v/>
      </c>
      <c r="E748" s="12">
        <f>IF(A748="","",IF(Calculator!$B$17=1,ROUNDUP(D748*Calculator!$B$8/3600/Calculator!$B$24-0.000000001,0),D748*Calculator!$B$8/3600/Calculator!$B$24))</f>
        <v/>
      </c>
      <c r="F748" s="16">
        <f>IF(A748="","",IF(Calculator!$B$16=1,Calculator!$B$27,A748)*Calculator!$B$5*Calculator!$B$15)</f>
        <v/>
      </c>
      <c r="G748" s="16">
        <f>IF(A748="","",E748*Calculator!$B$6+Calculator!$C$37+F748+Calculator!$B$30)</f>
        <v/>
      </c>
      <c r="H748" s="16">
        <f>IF(A748="","",Calculator!$B$40-G748)</f>
        <v/>
      </c>
      <c r="I748" s="17">
        <f>IF(A748="","",A748*Calculator!$B$5*Calculator!$B$8/3600)</f>
        <v/>
      </c>
      <c r="J748" s="12">
        <f>IF(A748="","",Calculator!$B$35-E748)</f>
        <v/>
      </c>
    </row>
    <row r="749">
      <c r="A749" s="15">
        <f>IF(747/1000&lt;=Calculator!$B$27+0.0000001,747/1000,"")</f>
        <v/>
      </c>
      <c r="B749" s="15">
        <f>IF(A749="","",A749/Calculator!$B$27)</f>
        <v/>
      </c>
      <c r="C749" s="15">
        <f>IF(A749="","",Calculator!$B$27-A749)</f>
        <v/>
      </c>
      <c r="D749" s="17">
        <f>IF(A749="","",(Calculator!$B$11+C749)*Calculator!$B$5)</f>
        <v/>
      </c>
      <c r="E749" s="12">
        <f>IF(A749="","",IF(Calculator!$B$17=1,ROUNDUP(D749*Calculator!$B$8/3600/Calculator!$B$24-0.000000001,0),D749*Calculator!$B$8/3600/Calculator!$B$24))</f>
        <v/>
      </c>
      <c r="F749" s="16">
        <f>IF(A749="","",IF(Calculator!$B$16=1,Calculator!$B$27,A749)*Calculator!$B$5*Calculator!$B$15)</f>
        <v/>
      </c>
      <c r="G749" s="16">
        <f>IF(A749="","",E749*Calculator!$B$6+Calculator!$C$37+F749+Calculator!$B$30)</f>
        <v/>
      </c>
      <c r="H749" s="16">
        <f>IF(A749="","",Calculator!$B$40-G749)</f>
        <v/>
      </c>
      <c r="I749" s="17">
        <f>IF(A749="","",A749*Calculator!$B$5*Calculator!$B$8/3600)</f>
        <v/>
      </c>
      <c r="J749" s="12">
        <f>IF(A749="","",Calculator!$B$35-E749)</f>
        <v/>
      </c>
    </row>
    <row r="750">
      <c r="A750" s="15">
        <f>IF(748/1000&lt;=Calculator!$B$27+0.0000001,748/1000,"")</f>
        <v/>
      </c>
      <c r="B750" s="15">
        <f>IF(A750="","",A750/Calculator!$B$27)</f>
        <v/>
      </c>
      <c r="C750" s="15">
        <f>IF(A750="","",Calculator!$B$27-A750)</f>
        <v/>
      </c>
      <c r="D750" s="17">
        <f>IF(A750="","",(Calculator!$B$11+C750)*Calculator!$B$5)</f>
        <v/>
      </c>
      <c r="E750" s="12">
        <f>IF(A750="","",IF(Calculator!$B$17=1,ROUNDUP(D750*Calculator!$B$8/3600/Calculator!$B$24-0.000000001,0),D750*Calculator!$B$8/3600/Calculator!$B$24))</f>
        <v/>
      </c>
      <c r="F750" s="16">
        <f>IF(A750="","",IF(Calculator!$B$16=1,Calculator!$B$27,A750)*Calculator!$B$5*Calculator!$B$15)</f>
        <v/>
      </c>
      <c r="G750" s="16">
        <f>IF(A750="","",E750*Calculator!$B$6+Calculator!$C$37+F750+Calculator!$B$30)</f>
        <v/>
      </c>
      <c r="H750" s="16">
        <f>IF(A750="","",Calculator!$B$40-G750)</f>
        <v/>
      </c>
      <c r="I750" s="17">
        <f>IF(A750="","",A750*Calculator!$B$5*Calculator!$B$8/3600)</f>
        <v/>
      </c>
      <c r="J750" s="12">
        <f>IF(A750="","",Calculator!$B$35-E750)</f>
        <v/>
      </c>
    </row>
    <row r="751">
      <c r="A751" s="15">
        <f>IF(749/1000&lt;=Calculator!$B$27+0.0000001,749/1000,"")</f>
        <v/>
      </c>
      <c r="B751" s="15">
        <f>IF(A751="","",A751/Calculator!$B$27)</f>
        <v/>
      </c>
      <c r="C751" s="15">
        <f>IF(A751="","",Calculator!$B$27-A751)</f>
        <v/>
      </c>
      <c r="D751" s="17">
        <f>IF(A751="","",(Calculator!$B$11+C751)*Calculator!$B$5)</f>
        <v/>
      </c>
      <c r="E751" s="12">
        <f>IF(A751="","",IF(Calculator!$B$17=1,ROUNDUP(D751*Calculator!$B$8/3600/Calculator!$B$24-0.000000001,0),D751*Calculator!$B$8/3600/Calculator!$B$24))</f>
        <v/>
      </c>
      <c r="F751" s="16">
        <f>IF(A751="","",IF(Calculator!$B$16=1,Calculator!$B$27,A751)*Calculator!$B$5*Calculator!$B$15)</f>
        <v/>
      </c>
      <c r="G751" s="16">
        <f>IF(A751="","",E751*Calculator!$B$6+Calculator!$C$37+F751+Calculator!$B$30)</f>
        <v/>
      </c>
      <c r="H751" s="16">
        <f>IF(A751="","",Calculator!$B$40-G751)</f>
        <v/>
      </c>
      <c r="I751" s="17">
        <f>IF(A751="","",A751*Calculator!$B$5*Calculator!$B$8/3600)</f>
        <v/>
      </c>
      <c r="J751" s="12">
        <f>IF(A751="","",Calculator!$B$35-E751)</f>
        <v/>
      </c>
    </row>
    <row r="752">
      <c r="A752" s="15">
        <f>IF(750/1000&lt;=Calculator!$B$27+0.0000001,750/1000,"")</f>
        <v/>
      </c>
      <c r="B752" s="15">
        <f>IF(A752="","",A752/Calculator!$B$27)</f>
        <v/>
      </c>
      <c r="C752" s="15">
        <f>IF(A752="","",Calculator!$B$27-A752)</f>
        <v/>
      </c>
      <c r="D752" s="17">
        <f>IF(A752="","",(Calculator!$B$11+C752)*Calculator!$B$5)</f>
        <v/>
      </c>
      <c r="E752" s="12">
        <f>IF(A752="","",IF(Calculator!$B$17=1,ROUNDUP(D752*Calculator!$B$8/3600/Calculator!$B$24-0.000000001,0),D752*Calculator!$B$8/3600/Calculator!$B$24))</f>
        <v/>
      </c>
      <c r="F752" s="16">
        <f>IF(A752="","",IF(Calculator!$B$16=1,Calculator!$B$27,A752)*Calculator!$B$5*Calculator!$B$15)</f>
        <v/>
      </c>
      <c r="G752" s="16">
        <f>IF(A752="","",E752*Calculator!$B$6+Calculator!$C$37+F752+Calculator!$B$30)</f>
        <v/>
      </c>
      <c r="H752" s="16">
        <f>IF(A752="","",Calculator!$B$40-G752)</f>
        <v/>
      </c>
      <c r="I752" s="17">
        <f>IF(A752="","",A752*Calculator!$B$5*Calculator!$B$8/3600)</f>
        <v/>
      </c>
      <c r="J752" s="12">
        <f>IF(A752="","",Calculator!$B$35-E752)</f>
        <v/>
      </c>
    </row>
    <row r="753">
      <c r="A753" s="15">
        <f>IF(751/1000&lt;=Calculator!$B$27+0.0000001,751/1000,"")</f>
        <v/>
      </c>
      <c r="B753" s="15">
        <f>IF(A753="","",A753/Calculator!$B$27)</f>
        <v/>
      </c>
      <c r="C753" s="15">
        <f>IF(A753="","",Calculator!$B$27-A753)</f>
        <v/>
      </c>
      <c r="D753" s="17">
        <f>IF(A753="","",(Calculator!$B$11+C753)*Calculator!$B$5)</f>
        <v/>
      </c>
      <c r="E753" s="12">
        <f>IF(A753="","",IF(Calculator!$B$17=1,ROUNDUP(D753*Calculator!$B$8/3600/Calculator!$B$24-0.000000001,0),D753*Calculator!$B$8/3600/Calculator!$B$24))</f>
        <v/>
      </c>
      <c r="F753" s="16">
        <f>IF(A753="","",IF(Calculator!$B$16=1,Calculator!$B$27,A753)*Calculator!$B$5*Calculator!$B$15)</f>
        <v/>
      </c>
      <c r="G753" s="16">
        <f>IF(A753="","",E753*Calculator!$B$6+Calculator!$C$37+F753+Calculator!$B$30)</f>
        <v/>
      </c>
      <c r="H753" s="16">
        <f>IF(A753="","",Calculator!$B$40-G753)</f>
        <v/>
      </c>
      <c r="I753" s="17">
        <f>IF(A753="","",A753*Calculator!$B$5*Calculator!$B$8/3600)</f>
        <v/>
      </c>
      <c r="J753" s="12">
        <f>IF(A753="","",Calculator!$B$35-E753)</f>
        <v/>
      </c>
    </row>
    <row r="754">
      <c r="A754" s="15">
        <f>IF(752/1000&lt;=Calculator!$B$27+0.0000001,752/1000,"")</f>
        <v/>
      </c>
      <c r="B754" s="15">
        <f>IF(A754="","",A754/Calculator!$B$27)</f>
        <v/>
      </c>
      <c r="C754" s="15">
        <f>IF(A754="","",Calculator!$B$27-A754)</f>
        <v/>
      </c>
      <c r="D754" s="17">
        <f>IF(A754="","",(Calculator!$B$11+C754)*Calculator!$B$5)</f>
        <v/>
      </c>
      <c r="E754" s="12">
        <f>IF(A754="","",IF(Calculator!$B$17=1,ROUNDUP(D754*Calculator!$B$8/3600/Calculator!$B$24-0.000000001,0),D754*Calculator!$B$8/3600/Calculator!$B$24))</f>
        <v/>
      </c>
      <c r="F754" s="16">
        <f>IF(A754="","",IF(Calculator!$B$16=1,Calculator!$B$27,A754)*Calculator!$B$5*Calculator!$B$15)</f>
        <v/>
      </c>
      <c r="G754" s="16">
        <f>IF(A754="","",E754*Calculator!$B$6+Calculator!$C$37+F754+Calculator!$B$30)</f>
        <v/>
      </c>
      <c r="H754" s="16">
        <f>IF(A754="","",Calculator!$B$40-G754)</f>
        <v/>
      </c>
      <c r="I754" s="17">
        <f>IF(A754="","",A754*Calculator!$B$5*Calculator!$B$8/3600)</f>
        <v/>
      </c>
      <c r="J754" s="12">
        <f>IF(A754="","",Calculator!$B$35-E754)</f>
        <v/>
      </c>
    </row>
    <row r="755">
      <c r="A755" s="15">
        <f>IF(753/1000&lt;=Calculator!$B$27+0.0000001,753/1000,"")</f>
        <v/>
      </c>
      <c r="B755" s="15">
        <f>IF(A755="","",A755/Calculator!$B$27)</f>
        <v/>
      </c>
      <c r="C755" s="15">
        <f>IF(A755="","",Calculator!$B$27-A755)</f>
        <v/>
      </c>
      <c r="D755" s="17">
        <f>IF(A755="","",(Calculator!$B$11+C755)*Calculator!$B$5)</f>
        <v/>
      </c>
      <c r="E755" s="12">
        <f>IF(A755="","",IF(Calculator!$B$17=1,ROUNDUP(D755*Calculator!$B$8/3600/Calculator!$B$24-0.000000001,0),D755*Calculator!$B$8/3600/Calculator!$B$24))</f>
        <v/>
      </c>
      <c r="F755" s="16">
        <f>IF(A755="","",IF(Calculator!$B$16=1,Calculator!$B$27,A755)*Calculator!$B$5*Calculator!$B$15)</f>
        <v/>
      </c>
      <c r="G755" s="16">
        <f>IF(A755="","",E755*Calculator!$B$6+Calculator!$C$37+F755+Calculator!$B$30)</f>
        <v/>
      </c>
      <c r="H755" s="16">
        <f>IF(A755="","",Calculator!$B$40-G755)</f>
        <v/>
      </c>
      <c r="I755" s="17">
        <f>IF(A755="","",A755*Calculator!$B$5*Calculator!$B$8/3600)</f>
        <v/>
      </c>
      <c r="J755" s="12">
        <f>IF(A755="","",Calculator!$B$35-E755)</f>
        <v/>
      </c>
    </row>
    <row r="756">
      <c r="A756" s="15">
        <f>IF(754/1000&lt;=Calculator!$B$27+0.0000001,754/1000,"")</f>
        <v/>
      </c>
      <c r="B756" s="15">
        <f>IF(A756="","",A756/Calculator!$B$27)</f>
        <v/>
      </c>
      <c r="C756" s="15">
        <f>IF(A756="","",Calculator!$B$27-A756)</f>
        <v/>
      </c>
      <c r="D756" s="17">
        <f>IF(A756="","",(Calculator!$B$11+C756)*Calculator!$B$5)</f>
        <v/>
      </c>
      <c r="E756" s="12">
        <f>IF(A756="","",IF(Calculator!$B$17=1,ROUNDUP(D756*Calculator!$B$8/3600/Calculator!$B$24-0.000000001,0),D756*Calculator!$B$8/3600/Calculator!$B$24))</f>
        <v/>
      </c>
      <c r="F756" s="16">
        <f>IF(A756="","",IF(Calculator!$B$16=1,Calculator!$B$27,A756)*Calculator!$B$5*Calculator!$B$15)</f>
        <v/>
      </c>
      <c r="G756" s="16">
        <f>IF(A756="","",E756*Calculator!$B$6+Calculator!$C$37+F756+Calculator!$B$30)</f>
        <v/>
      </c>
      <c r="H756" s="16">
        <f>IF(A756="","",Calculator!$B$40-G756)</f>
        <v/>
      </c>
      <c r="I756" s="17">
        <f>IF(A756="","",A756*Calculator!$B$5*Calculator!$B$8/3600)</f>
        <v/>
      </c>
      <c r="J756" s="12">
        <f>IF(A756="","",Calculator!$B$35-E756)</f>
        <v/>
      </c>
    </row>
    <row r="757">
      <c r="A757" s="15">
        <f>IF(755/1000&lt;=Calculator!$B$27+0.0000001,755/1000,"")</f>
        <v/>
      </c>
      <c r="B757" s="15">
        <f>IF(A757="","",A757/Calculator!$B$27)</f>
        <v/>
      </c>
      <c r="C757" s="15">
        <f>IF(A757="","",Calculator!$B$27-A757)</f>
        <v/>
      </c>
      <c r="D757" s="17">
        <f>IF(A757="","",(Calculator!$B$11+C757)*Calculator!$B$5)</f>
        <v/>
      </c>
      <c r="E757" s="12">
        <f>IF(A757="","",IF(Calculator!$B$17=1,ROUNDUP(D757*Calculator!$B$8/3600/Calculator!$B$24-0.000000001,0),D757*Calculator!$B$8/3600/Calculator!$B$24))</f>
        <v/>
      </c>
      <c r="F757" s="16">
        <f>IF(A757="","",IF(Calculator!$B$16=1,Calculator!$B$27,A757)*Calculator!$B$5*Calculator!$B$15)</f>
        <v/>
      </c>
      <c r="G757" s="16">
        <f>IF(A757="","",E757*Calculator!$B$6+Calculator!$C$37+F757+Calculator!$B$30)</f>
        <v/>
      </c>
      <c r="H757" s="16">
        <f>IF(A757="","",Calculator!$B$40-G757)</f>
        <v/>
      </c>
      <c r="I757" s="17">
        <f>IF(A757="","",A757*Calculator!$B$5*Calculator!$B$8/3600)</f>
        <v/>
      </c>
      <c r="J757" s="12">
        <f>IF(A757="","",Calculator!$B$35-E757)</f>
        <v/>
      </c>
    </row>
    <row r="758">
      <c r="A758" s="15">
        <f>IF(756/1000&lt;=Calculator!$B$27+0.0000001,756/1000,"")</f>
        <v/>
      </c>
      <c r="B758" s="15">
        <f>IF(A758="","",A758/Calculator!$B$27)</f>
        <v/>
      </c>
      <c r="C758" s="15">
        <f>IF(A758="","",Calculator!$B$27-A758)</f>
        <v/>
      </c>
      <c r="D758" s="17">
        <f>IF(A758="","",(Calculator!$B$11+C758)*Calculator!$B$5)</f>
        <v/>
      </c>
      <c r="E758" s="12">
        <f>IF(A758="","",IF(Calculator!$B$17=1,ROUNDUP(D758*Calculator!$B$8/3600/Calculator!$B$24-0.000000001,0),D758*Calculator!$B$8/3600/Calculator!$B$24))</f>
        <v/>
      </c>
      <c r="F758" s="16">
        <f>IF(A758="","",IF(Calculator!$B$16=1,Calculator!$B$27,A758)*Calculator!$B$5*Calculator!$B$15)</f>
        <v/>
      </c>
      <c r="G758" s="16">
        <f>IF(A758="","",E758*Calculator!$B$6+Calculator!$C$37+F758+Calculator!$B$30)</f>
        <v/>
      </c>
      <c r="H758" s="16">
        <f>IF(A758="","",Calculator!$B$40-G758)</f>
        <v/>
      </c>
      <c r="I758" s="17">
        <f>IF(A758="","",A758*Calculator!$B$5*Calculator!$B$8/3600)</f>
        <v/>
      </c>
      <c r="J758" s="12">
        <f>IF(A758="","",Calculator!$B$35-E758)</f>
        <v/>
      </c>
    </row>
    <row r="759">
      <c r="A759" s="15">
        <f>IF(757/1000&lt;=Calculator!$B$27+0.0000001,757/1000,"")</f>
        <v/>
      </c>
      <c r="B759" s="15">
        <f>IF(A759="","",A759/Calculator!$B$27)</f>
        <v/>
      </c>
      <c r="C759" s="15">
        <f>IF(A759="","",Calculator!$B$27-A759)</f>
        <v/>
      </c>
      <c r="D759" s="17">
        <f>IF(A759="","",(Calculator!$B$11+C759)*Calculator!$B$5)</f>
        <v/>
      </c>
      <c r="E759" s="12">
        <f>IF(A759="","",IF(Calculator!$B$17=1,ROUNDUP(D759*Calculator!$B$8/3600/Calculator!$B$24-0.000000001,0),D759*Calculator!$B$8/3600/Calculator!$B$24))</f>
        <v/>
      </c>
      <c r="F759" s="16">
        <f>IF(A759="","",IF(Calculator!$B$16=1,Calculator!$B$27,A759)*Calculator!$B$5*Calculator!$B$15)</f>
        <v/>
      </c>
      <c r="G759" s="16">
        <f>IF(A759="","",E759*Calculator!$B$6+Calculator!$C$37+F759+Calculator!$B$30)</f>
        <v/>
      </c>
      <c r="H759" s="16">
        <f>IF(A759="","",Calculator!$B$40-G759)</f>
        <v/>
      </c>
      <c r="I759" s="17">
        <f>IF(A759="","",A759*Calculator!$B$5*Calculator!$B$8/3600)</f>
        <v/>
      </c>
      <c r="J759" s="12">
        <f>IF(A759="","",Calculator!$B$35-E759)</f>
        <v/>
      </c>
    </row>
    <row r="760">
      <c r="A760" s="15">
        <f>IF(758/1000&lt;=Calculator!$B$27+0.0000001,758/1000,"")</f>
        <v/>
      </c>
      <c r="B760" s="15">
        <f>IF(A760="","",A760/Calculator!$B$27)</f>
        <v/>
      </c>
      <c r="C760" s="15">
        <f>IF(A760="","",Calculator!$B$27-A760)</f>
        <v/>
      </c>
      <c r="D760" s="17">
        <f>IF(A760="","",(Calculator!$B$11+C760)*Calculator!$B$5)</f>
        <v/>
      </c>
      <c r="E760" s="12">
        <f>IF(A760="","",IF(Calculator!$B$17=1,ROUNDUP(D760*Calculator!$B$8/3600/Calculator!$B$24-0.000000001,0),D760*Calculator!$B$8/3600/Calculator!$B$24))</f>
        <v/>
      </c>
      <c r="F760" s="16">
        <f>IF(A760="","",IF(Calculator!$B$16=1,Calculator!$B$27,A760)*Calculator!$B$5*Calculator!$B$15)</f>
        <v/>
      </c>
      <c r="G760" s="16">
        <f>IF(A760="","",E760*Calculator!$B$6+Calculator!$C$37+F760+Calculator!$B$30)</f>
        <v/>
      </c>
      <c r="H760" s="16">
        <f>IF(A760="","",Calculator!$B$40-G760)</f>
        <v/>
      </c>
      <c r="I760" s="17">
        <f>IF(A760="","",A760*Calculator!$B$5*Calculator!$B$8/3600)</f>
        <v/>
      </c>
      <c r="J760" s="12">
        <f>IF(A760="","",Calculator!$B$35-E760)</f>
        <v/>
      </c>
    </row>
    <row r="761">
      <c r="A761" s="15">
        <f>IF(759/1000&lt;=Calculator!$B$27+0.0000001,759/1000,"")</f>
        <v/>
      </c>
      <c r="B761" s="15">
        <f>IF(A761="","",A761/Calculator!$B$27)</f>
        <v/>
      </c>
      <c r="C761" s="15">
        <f>IF(A761="","",Calculator!$B$27-A761)</f>
        <v/>
      </c>
      <c r="D761" s="17">
        <f>IF(A761="","",(Calculator!$B$11+C761)*Calculator!$B$5)</f>
        <v/>
      </c>
      <c r="E761" s="12">
        <f>IF(A761="","",IF(Calculator!$B$17=1,ROUNDUP(D761*Calculator!$B$8/3600/Calculator!$B$24-0.000000001,0),D761*Calculator!$B$8/3600/Calculator!$B$24))</f>
        <v/>
      </c>
      <c r="F761" s="16">
        <f>IF(A761="","",IF(Calculator!$B$16=1,Calculator!$B$27,A761)*Calculator!$B$5*Calculator!$B$15)</f>
        <v/>
      </c>
      <c r="G761" s="16">
        <f>IF(A761="","",E761*Calculator!$B$6+Calculator!$C$37+F761+Calculator!$B$30)</f>
        <v/>
      </c>
      <c r="H761" s="16">
        <f>IF(A761="","",Calculator!$B$40-G761)</f>
        <v/>
      </c>
      <c r="I761" s="17">
        <f>IF(A761="","",A761*Calculator!$B$5*Calculator!$B$8/3600)</f>
        <v/>
      </c>
      <c r="J761" s="12">
        <f>IF(A761="","",Calculator!$B$35-E761)</f>
        <v/>
      </c>
    </row>
    <row r="762">
      <c r="A762" s="15">
        <f>IF(760/1000&lt;=Calculator!$B$27+0.0000001,760/1000,"")</f>
        <v/>
      </c>
      <c r="B762" s="15">
        <f>IF(A762="","",A762/Calculator!$B$27)</f>
        <v/>
      </c>
      <c r="C762" s="15">
        <f>IF(A762="","",Calculator!$B$27-A762)</f>
        <v/>
      </c>
      <c r="D762" s="17">
        <f>IF(A762="","",(Calculator!$B$11+C762)*Calculator!$B$5)</f>
        <v/>
      </c>
      <c r="E762" s="12">
        <f>IF(A762="","",IF(Calculator!$B$17=1,ROUNDUP(D762*Calculator!$B$8/3600/Calculator!$B$24-0.000000001,0),D762*Calculator!$B$8/3600/Calculator!$B$24))</f>
        <v/>
      </c>
      <c r="F762" s="16">
        <f>IF(A762="","",IF(Calculator!$B$16=1,Calculator!$B$27,A762)*Calculator!$B$5*Calculator!$B$15)</f>
        <v/>
      </c>
      <c r="G762" s="16">
        <f>IF(A762="","",E762*Calculator!$B$6+Calculator!$C$37+F762+Calculator!$B$30)</f>
        <v/>
      </c>
      <c r="H762" s="16">
        <f>IF(A762="","",Calculator!$B$40-G762)</f>
        <v/>
      </c>
      <c r="I762" s="17">
        <f>IF(A762="","",A762*Calculator!$B$5*Calculator!$B$8/3600)</f>
        <v/>
      </c>
      <c r="J762" s="12">
        <f>IF(A762="","",Calculator!$B$35-E762)</f>
        <v/>
      </c>
    </row>
    <row r="763">
      <c r="A763" s="15">
        <f>IF(761/1000&lt;=Calculator!$B$27+0.0000001,761/1000,"")</f>
        <v/>
      </c>
      <c r="B763" s="15">
        <f>IF(A763="","",A763/Calculator!$B$27)</f>
        <v/>
      </c>
      <c r="C763" s="15">
        <f>IF(A763="","",Calculator!$B$27-A763)</f>
        <v/>
      </c>
      <c r="D763" s="17">
        <f>IF(A763="","",(Calculator!$B$11+C763)*Calculator!$B$5)</f>
        <v/>
      </c>
      <c r="E763" s="12">
        <f>IF(A763="","",IF(Calculator!$B$17=1,ROUNDUP(D763*Calculator!$B$8/3600/Calculator!$B$24-0.000000001,0),D763*Calculator!$B$8/3600/Calculator!$B$24))</f>
        <v/>
      </c>
      <c r="F763" s="16">
        <f>IF(A763="","",IF(Calculator!$B$16=1,Calculator!$B$27,A763)*Calculator!$B$5*Calculator!$B$15)</f>
        <v/>
      </c>
      <c r="G763" s="16">
        <f>IF(A763="","",E763*Calculator!$B$6+Calculator!$C$37+F763+Calculator!$B$30)</f>
        <v/>
      </c>
      <c r="H763" s="16">
        <f>IF(A763="","",Calculator!$B$40-G763)</f>
        <v/>
      </c>
      <c r="I763" s="17">
        <f>IF(A763="","",A763*Calculator!$B$5*Calculator!$B$8/3600)</f>
        <v/>
      </c>
      <c r="J763" s="12">
        <f>IF(A763="","",Calculator!$B$35-E763)</f>
        <v/>
      </c>
    </row>
    <row r="764">
      <c r="A764" s="15">
        <f>IF(762/1000&lt;=Calculator!$B$27+0.0000001,762/1000,"")</f>
        <v/>
      </c>
      <c r="B764" s="15">
        <f>IF(A764="","",A764/Calculator!$B$27)</f>
        <v/>
      </c>
      <c r="C764" s="15">
        <f>IF(A764="","",Calculator!$B$27-A764)</f>
        <v/>
      </c>
      <c r="D764" s="17">
        <f>IF(A764="","",(Calculator!$B$11+C764)*Calculator!$B$5)</f>
        <v/>
      </c>
      <c r="E764" s="12">
        <f>IF(A764="","",IF(Calculator!$B$17=1,ROUNDUP(D764*Calculator!$B$8/3600/Calculator!$B$24-0.000000001,0),D764*Calculator!$B$8/3600/Calculator!$B$24))</f>
        <v/>
      </c>
      <c r="F764" s="16">
        <f>IF(A764="","",IF(Calculator!$B$16=1,Calculator!$B$27,A764)*Calculator!$B$5*Calculator!$B$15)</f>
        <v/>
      </c>
      <c r="G764" s="16">
        <f>IF(A764="","",E764*Calculator!$B$6+Calculator!$C$37+F764+Calculator!$B$30)</f>
        <v/>
      </c>
      <c r="H764" s="16">
        <f>IF(A764="","",Calculator!$B$40-G764)</f>
        <v/>
      </c>
      <c r="I764" s="17">
        <f>IF(A764="","",A764*Calculator!$B$5*Calculator!$B$8/3600)</f>
        <v/>
      </c>
      <c r="J764" s="12">
        <f>IF(A764="","",Calculator!$B$35-E764)</f>
        <v/>
      </c>
    </row>
    <row r="765">
      <c r="A765" s="15">
        <f>IF(763/1000&lt;=Calculator!$B$27+0.0000001,763/1000,"")</f>
        <v/>
      </c>
      <c r="B765" s="15">
        <f>IF(A765="","",A765/Calculator!$B$27)</f>
        <v/>
      </c>
      <c r="C765" s="15">
        <f>IF(A765="","",Calculator!$B$27-A765)</f>
        <v/>
      </c>
      <c r="D765" s="17">
        <f>IF(A765="","",(Calculator!$B$11+C765)*Calculator!$B$5)</f>
        <v/>
      </c>
      <c r="E765" s="12">
        <f>IF(A765="","",IF(Calculator!$B$17=1,ROUNDUP(D765*Calculator!$B$8/3600/Calculator!$B$24-0.000000001,0),D765*Calculator!$B$8/3600/Calculator!$B$24))</f>
        <v/>
      </c>
      <c r="F765" s="16">
        <f>IF(A765="","",IF(Calculator!$B$16=1,Calculator!$B$27,A765)*Calculator!$B$5*Calculator!$B$15)</f>
        <v/>
      </c>
      <c r="G765" s="16">
        <f>IF(A765="","",E765*Calculator!$B$6+Calculator!$C$37+F765+Calculator!$B$30)</f>
        <v/>
      </c>
      <c r="H765" s="16">
        <f>IF(A765="","",Calculator!$B$40-G765)</f>
        <v/>
      </c>
      <c r="I765" s="17">
        <f>IF(A765="","",A765*Calculator!$B$5*Calculator!$B$8/3600)</f>
        <v/>
      </c>
      <c r="J765" s="12">
        <f>IF(A765="","",Calculator!$B$35-E765)</f>
        <v/>
      </c>
    </row>
    <row r="766">
      <c r="A766" s="15">
        <f>IF(764/1000&lt;=Calculator!$B$27+0.0000001,764/1000,"")</f>
        <v/>
      </c>
      <c r="B766" s="15">
        <f>IF(A766="","",A766/Calculator!$B$27)</f>
        <v/>
      </c>
      <c r="C766" s="15">
        <f>IF(A766="","",Calculator!$B$27-A766)</f>
        <v/>
      </c>
      <c r="D766" s="17">
        <f>IF(A766="","",(Calculator!$B$11+C766)*Calculator!$B$5)</f>
        <v/>
      </c>
      <c r="E766" s="12">
        <f>IF(A766="","",IF(Calculator!$B$17=1,ROUNDUP(D766*Calculator!$B$8/3600/Calculator!$B$24-0.000000001,0),D766*Calculator!$B$8/3600/Calculator!$B$24))</f>
        <v/>
      </c>
      <c r="F766" s="16">
        <f>IF(A766="","",IF(Calculator!$B$16=1,Calculator!$B$27,A766)*Calculator!$B$5*Calculator!$B$15)</f>
        <v/>
      </c>
      <c r="G766" s="16">
        <f>IF(A766="","",E766*Calculator!$B$6+Calculator!$C$37+F766+Calculator!$B$30)</f>
        <v/>
      </c>
      <c r="H766" s="16">
        <f>IF(A766="","",Calculator!$B$40-G766)</f>
        <v/>
      </c>
      <c r="I766" s="17">
        <f>IF(A766="","",A766*Calculator!$B$5*Calculator!$B$8/3600)</f>
        <v/>
      </c>
      <c r="J766" s="12">
        <f>IF(A766="","",Calculator!$B$35-E766)</f>
        <v/>
      </c>
    </row>
    <row r="767">
      <c r="A767" s="15">
        <f>IF(765/1000&lt;=Calculator!$B$27+0.0000001,765/1000,"")</f>
        <v/>
      </c>
      <c r="B767" s="15">
        <f>IF(A767="","",A767/Calculator!$B$27)</f>
        <v/>
      </c>
      <c r="C767" s="15">
        <f>IF(A767="","",Calculator!$B$27-A767)</f>
        <v/>
      </c>
      <c r="D767" s="17">
        <f>IF(A767="","",(Calculator!$B$11+C767)*Calculator!$B$5)</f>
        <v/>
      </c>
      <c r="E767" s="12">
        <f>IF(A767="","",IF(Calculator!$B$17=1,ROUNDUP(D767*Calculator!$B$8/3600/Calculator!$B$24-0.000000001,0),D767*Calculator!$B$8/3600/Calculator!$B$24))</f>
        <v/>
      </c>
      <c r="F767" s="16">
        <f>IF(A767="","",IF(Calculator!$B$16=1,Calculator!$B$27,A767)*Calculator!$B$5*Calculator!$B$15)</f>
        <v/>
      </c>
      <c r="G767" s="16">
        <f>IF(A767="","",E767*Calculator!$B$6+Calculator!$C$37+F767+Calculator!$B$30)</f>
        <v/>
      </c>
      <c r="H767" s="16">
        <f>IF(A767="","",Calculator!$B$40-G767)</f>
        <v/>
      </c>
      <c r="I767" s="17">
        <f>IF(A767="","",A767*Calculator!$B$5*Calculator!$B$8/3600)</f>
        <v/>
      </c>
      <c r="J767" s="12">
        <f>IF(A767="","",Calculator!$B$35-E767)</f>
        <v/>
      </c>
    </row>
    <row r="768">
      <c r="A768" s="15">
        <f>IF(766/1000&lt;=Calculator!$B$27+0.0000001,766/1000,"")</f>
        <v/>
      </c>
      <c r="B768" s="15">
        <f>IF(A768="","",A768/Calculator!$B$27)</f>
        <v/>
      </c>
      <c r="C768" s="15">
        <f>IF(A768="","",Calculator!$B$27-A768)</f>
        <v/>
      </c>
      <c r="D768" s="17">
        <f>IF(A768="","",(Calculator!$B$11+C768)*Calculator!$B$5)</f>
        <v/>
      </c>
      <c r="E768" s="12">
        <f>IF(A768="","",IF(Calculator!$B$17=1,ROUNDUP(D768*Calculator!$B$8/3600/Calculator!$B$24-0.000000001,0),D768*Calculator!$B$8/3600/Calculator!$B$24))</f>
        <v/>
      </c>
      <c r="F768" s="16">
        <f>IF(A768="","",IF(Calculator!$B$16=1,Calculator!$B$27,A768)*Calculator!$B$5*Calculator!$B$15)</f>
        <v/>
      </c>
      <c r="G768" s="16">
        <f>IF(A768="","",E768*Calculator!$B$6+Calculator!$C$37+F768+Calculator!$B$30)</f>
        <v/>
      </c>
      <c r="H768" s="16">
        <f>IF(A768="","",Calculator!$B$40-G768)</f>
        <v/>
      </c>
      <c r="I768" s="17">
        <f>IF(A768="","",A768*Calculator!$B$5*Calculator!$B$8/3600)</f>
        <v/>
      </c>
      <c r="J768" s="12">
        <f>IF(A768="","",Calculator!$B$35-E768)</f>
        <v/>
      </c>
    </row>
    <row r="769">
      <c r="A769" s="15">
        <f>IF(767/1000&lt;=Calculator!$B$27+0.0000001,767/1000,"")</f>
        <v/>
      </c>
      <c r="B769" s="15">
        <f>IF(A769="","",A769/Calculator!$B$27)</f>
        <v/>
      </c>
      <c r="C769" s="15">
        <f>IF(A769="","",Calculator!$B$27-A769)</f>
        <v/>
      </c>
      <c r="D769" s="17">
        <f>IF(A769="","",(Calculator!$B$11+C769)*Calculator!$B$5)</f>
        <v/>
      </c>
      <c r="E769" s="12">
        <f>IF(A769="","",IF(Calculator!$B$17=1,ROUNDUP(D769*Calculator!$B$8/3600/Calculator!$B$24-0.000000001,0),D769*Calculator!$B$8/3600/Calculator!$B$24))</f>
        <v/>
      </c>
      <c r="F769" s="16">
        <f>IF(A769="","",IF(Calculator!$B$16=1,Calculator!$B$27,A769)*Calculator!$B$5*Calculator!$B$15)</f>
        <v/>
      </c>
      <c r="G769" s="16">
        <f>IF(A769="","",E769*Calculator!$B$6+Calculator!$C$37+F769+Calculator!$B$30)</f>
        <v/>
      </c>
      <c r="H769" s="16">
        <f>IF(A769="","",Calculator!$B$40-G769)</f>
        <v/>
      </c>
      <c r="I769" s="17">
        <f>IF(A769="","",A769*Calculator!$B$5*Calculator!$B$8/3600)</f>
        <v/>
      </c>
      <c r="J769" s="12">
        <f>IF(A769="","",Calculator!$B$35-E769)</f>
        <v/>
      </c>
    </row>
    <row r="770">
      <c r="A770" s="15">
        <f>IF(768/1000&lt;=Calculator!$B$27+0.0000001,768/1000,"")</f>
        <v/>
      </c>
      <c r="B770" s="15">
        <f>IF(A770="","",A770/Calculator!$B$27)</f>
        <v/>
      </c>
      <c r="C770" s="15">
        <f>IF(A770="","",Calculator!$B$27-A770)</f>
        <v/>
      </c>
      <c r="D770" s="17">
        <f>IF(A770="","",(Calculator!$B$11+C770)*Calculator!$B$5)</f>
        <v/>
      </c>
      <c r="E770" s="12">
        <f>IF(A770="","",IF(Calculator!$B$17=1,ROUNDUP(D770*Calculator!$B$8/3600/Calculator!$B$24-0.000000001,0),D770*Calculator!$B$8/3600/Calculator!$B$24))</f>
        <v/>
      </c>
      <c r="F770" s="16">
        <f>IF(A770="","",IF(Calculator!$B$16=1,Calculator!$B$27,A770)*Calculator!$B$5*Calculator!$B$15)</f>
        <v/>
      </c>
      <c r="G770" s="16">
        <f>IF(A770="","",E770*Calculator!$B$6+Calculator!$C$37+F770+Calculator!$B$30)</f>
        <v/>
      </c>
      <c r="H770" s="16">
        <f>IF(A770="","",Calculator!$B$40-G770)</f>
        <v/>
      </c>
      <c r="I770" s="17">
        <f>IF(A770="","",A770*Calculator!$B$5*Calculator!$B$8/3600)</f>
        <v/>
      </c>
      <c r="J770" s="12">
        <f>IF(A770="","",Calculator!$B$35-E770)</f>
        <v/>
      </c>
    </row>
    <row r="771">
      <c r="A771" s="15">
        <f>IF(769/1000&lt;=Calculator!$B$27+0.0000001,769/1000,"")</f>
        <v/>
      </c>
      <c r="B771" s="15">
        <f>IF(A771="","",A771/Calculator!$B$27)</f>
        <v/>
      </c>
      <c r="C771" s="15">
        <f>IF(A771="","",Calculator!$B$27-A771)</f>
        <v/>
      </c>
      <c r="D771" s="17">
        <f>IF(A771="","",(Calculator!$B$11+C771)*Calculator!$B$5)</f>
        <v/>
      </c>
      <c r="E771" s="12">
        <f>IF(A771="","",IF(Calculator!$B$17=1,ROUNDUP(D771*Calculator!$B$8/3600/Calculator!$B$24-0.000000001,0),D771*Calculator!$B$8/3600/Calculator!$B$24))</f>
        <v/>
      </c>
      <c r="F771" s="16">
        <f>IF(A771="","",IF(Calculator!$B$16=1,Calculator!$B$27,A771)*Calculator!$B$5*Calculator!$B$15)</f>
        <v/>
      </c>
      <c r="G771" s="16">
        <f>IF(A771="","",E771*Calculator!$B$6+Calculator!$C$37+F771+Calculator!$B$30)</f>
        <v/>
      </c>
      <c r="H771" s="16">
        <f>IF(A771="","",Calculator!$B$40-G771)</f>
        <v/>
      </c>
      <c r="I771" s="17">
        <f>IF(A771="","",A771*Calculator!$B$5*Calculator!$B$8/3600)</f>
        <v/>
      </c>
      <c r="J771" s="12">
        <f>IF(A771="","",Calculator!$B$35-E771)</f>
        <v/>
      </c>
    </row>
    <row r="772">
      <c r="A772" s="15">
        <f>IF(770/1000&lt;=Calculator!$B$27+0.0000001,770/1000,"")</f>
        <v/>
      </c>
      <c r="B772" s="15">
        <f>IF(A772="","",A772/Calculator!$B$27)</f>
        <v/>
      </c>
      <c r="C772" s="15">
        <f>IF(A772="","",Calculator!$B$27-A772)</f>
        <v/>
      </c>
      <c r="D772" s="17">
        <f>IF(A772="","",(Calculator!$B$11+C772)*Calculator!$B$5)</f>
        <v/>
      </c>
      <c r="E772" s="12">
        <f>IF(A772="","",IF(Calculator!$B$17=1,ROUNDUP(D772*Calculator!$B$8/3600/Calculator!$B$24-0.000000001,0),D772*Calculator!$B$8/3600/Calculator!$B$24))</f>
        <v/>
      </c>
      <c r="F772" s="16">
        <f>IF(A772="","",IF(Calculator!$B$16=1,Calculator!$B$27,A772)*Calculator!$B$5*Calculator!$B$15)</f>
        <v/>
      </c>
      <c r="G772" s="16">
        <f>IF(A772="","",E772*Calculator!$B$6+Calculator!$C$37+F772+Calculator!$B$30)</f>
        <v/>
      </c>
      <c r="H772" s="16">
        <f>IF(A772="","",Calculator!$B$40-G772)</f>
        <v/>
      </c>
      <c r="I772" s="17">
        <f>IF(A772="","",A772*Calculator!$B$5*Calculator!$B$8/3600)</f>
        <v/>
      </c>
      <c r="J772" s="12">
        <f>IF(A772="","",Calculator!$B$35-E772)</f>
        <v/>
      </c>
    </row>
    <row r="773">
      <c r="A773" s="15">
        <f>IF(771/1000&lt;=Calculator!$B$27+0.0000001,771/1000,"")</f>
        <v/>
      </c>
      <c r="B773" s="15">
        <f>IF(A773="","",A773/Calculator!$B$27)</f>
        <v/>
      </c>
      <c r="C773" s="15">
        <f>IF(A773="","",Calculator!$B$27-A773)</f>
        <v/>
      </c>
      <c r="D773" s="17">
        <f>IF(A773="","",(Calculator!$B$11+C773)*Calculator!$B$5)</f>
        <v/>
      </c>
      <c r="E773" s="12">
        <f>IF(A773="","",IF(Calculator!$B$17=1,ROUNDUP(D773*Calculator!$B$8/3600/Calculator!$B$24-0.000000001,0),D773*Calculator!$B$8/3600/Calculator!$B$24))</f>
        <v/>
      </c>
      <c r="F773" s="16">
        <f>IF(A773="","",IF(Calculator!$B$16=1,Calculator!$B$27,A773)*Calculator!$B$5*Calculator!$B$15)</f>
        <v/>
      </c>
      <c r="G773" s="16">
        <f>IF(A773="","",E773*Calculator!$B$6+Calculator!$C$37+F773+Calculator!$B$30)</f>
        <v/>
      </c>
      <c r="H773" s="16">
        <f>IF(A773="","",Calculator!$B$40-G773)</f>
        <v/>
      </c>
      <c r="I773" s="17">
        <f>IF(A773="","",A773*Calculator!$B$5*Calculator!$B$8/3600)</f>
        <v/>
      </c>
      <c r="J773" s="12">
        <f>IF(A773="","",Calculator!$B$35-E773)</f>
        <v/>
      </c>
    </row>
    <row r="774">
      <c r="A774" s="15">
        <f>IF(772/1000&lt;=Calculator!$B$27+0.0000001,772/1000,"")</f>
        <v/>
      </c>
      <c r="B774" s="15">
        <f>IF(A774="","",A774/Calculator!$B$27)</f>
        <v/>
      </c>
      <c r="C774" s="15">
        <f>IF(A774="","",Calculator!$B$27-A774)</f>
        <v/>
      </c>
      <c r="D774" s="17">
        <f>IF(A774="","",(Calculator!$B$11+C774)*Calculator!$B$5)</f>
        <v/>
      </c>
      <c r="E774" s="12">
        <f>IF(A774="","",IF(Calculator!$B$17=1,ROUNDUP(D774*Calculator!$B$8/3600/Calculator!$B$24-0.000000001,0),D774*Calculator!$B$8/3600/Calculator!$B$24))</f>
        <v/>
      </c>
      <c r="F774" s="16">
        <f>IF(A774="","",IF(Calculator!$B$16=1,Calculator!$B$27,A774)*Calculator!$B$5*Calculator!$B$15)</f>
        <v/>
      </c>
      <c r="G774" s="16">
        <f>IF(A774="","",E774*Calculator!$B$6+Calculator!$C$37+F774+Calculator!$B$30)</f>
        <v/>
      </c>
      <c r="H774" s="16">
        <f>IF(A774="","",Calculator!$B$40-G774)</f>
        <v/>
      </c>
      <c r="I774" s="17">
        <f>IF(A774="","",A774*Calculator!$B$5*Calculator!$B$8/3600)</f>
        <v/>
      </c>
      <c r="J774" s="12">
        <f>IF(A774="","",Calculator!$B$35-E774)</f>
        <v/>
      </c>
    </row>
    <row r="775">
      <c r="A775" s="15">
        <f>IF(773/1000&lt;=Calculator!$B$27+0.0000001,773/1000,"")</f>
        <v/>
      </c>
      <c r="B775" s="15">
        <f>IF(A775="","",A775/Calculator!$B$27)</f>
        <v/>
      </c>
      <c r="C775" s="15">
        <f>IF(A775="","",Calculator!$B$27-A775)</f>
        <v/>
      </c>
      <c r="D775" s="17">
        <f>IF(A775="","",(Calculator!$B$11+C775)*Calculator!$B$5)</f>
        <v/>
      </c>
      <c r="E775" s="12">
        <f>IF(A775="","",IF(Calculator!$B$17=1,ROUNDUP(D775*Calculator!$B$8/3600/Calculator!$B$24-0.000000001,0),D775*Calculator!$B$8/3600/Calculator!$B$24))</f>
        <v/>
      </c>
      <c r="F775" s="16">
        <f>IF(A775="","",IF(Calculator!$B$16=1,Calculator!$B$27,A775)*Calculator!$B$5*Calculator!$B$15)</f>
        <v/>
      </c>
      <c r="G775" s="16">
        <f>IF(A775="","",E775*Calculator!$B$6+Calculator!$C$37+F775+Calculator!$B$30)</f>
        <v/>
      </c>
      <c r="H775" s="16">
        <f>IF(A775="","",Calculator!$B$40-G775)</f>
        <v/>
      </c>
      <c r="I775" s="17">
        <f>IF(A775="","",A775*Calculator!$B$5*Calculator!$B$8/3600)</f>
        <v/>
      </c>
      <c r="J775" s="12">
        <f>IF(A775="","",Calculator!$B$35-E775)</f>
        <v/>
      </c>
    </row>
    <row r="776">
      <c r="A776" s="15">
        <f>IF(774/1000&lt;=Calculator!$B$27+0.0000001,774/1000,"")</f>
        <v/>
      </c>
      <c r="B776" s="15">
        <f>IF(A776="","",A776/Calculator!$B$27)</f>
        <v/>
      </c>
      <c r="C776" s="15">
        <f>IF(A776="","",Calculator!$B$27-A776)</f>
        <v/>
      </c>
      <c r="D776" s="17">
        <f>IF(A776="","",(Calculator!$B$11+C776)*Calculator!$B$5)</f>
        <v/>
      </c>
      <c r="E776" s="12">
        <f>IF(A776="","",IF(Calculator!$B$17=1,ROUNDUP(D776*Calculator!$B$8/3600/Calculator!$B$24-0.000000001,0),D776*Calculator!$B$8/3600/Calculator!$B$24))</f>
        <v/>
      </c>
      <c r="F776" s="16">
        <f>IF(A776="","",IF(Calculator!$B$16=1,Calculator!$B$27,A776)*Calculator!$B$5*Calculator!$B$15)</f>
        <v/>
      </c>
      <c r="G776" s="16">
        <f>IF(A776="","",E776*Calculator!$B$6+Calculator!$C$37+F776+Calculator!$B$30)</f>
        <v/>
      </c>
      <c r="H776" s="16">
        <f>IF(A776="","",Calculator!$B$40-G776)</f>
        <v/>
      </c>
      <c r="I776" s="17">
        <f>IF(A776="","",A776*Calculator!$B$5*Calculator!$B$8/3600)</f>
        <v/>
      </c>
      <c r="J776" s="12">
        <f>IF(A776="","",Calculator!$B$35-E776)</f>
        <v/>
      </c>
    </row>
    <row r="777">
      <c r="A777" s="15">
        <f>IF(775/1000&lt;=Calculator!$B$27+0.0000001,775/1000,"")</f>
        <v/>
      </c>
      <c r="B777" s="15">
        <f>IF(A777="","",A777/Calculator!$B$27)</f>
        <v/>
      </c>
      <c r="C777" s="15">
        <f>IF(A777="","",Calculator!$B$27-A777)</f>
        <v/>
      </c>
      <c r="D777" s="17">
        <f>IF(A777="","",(Calculator!$B$11+C777)*Calculator!$B$5)</f>
        <v/>
      </c>
      <c r="E777" s="12">
        <f>IF(A777="","",IF(Calculator!$B$17=1,ROUNDUP(D777*Calculator!$B$8/3600/Calculator!$B$24-0.000000001,0),D777*Calculator!$B$8/3600/Calculator!$B$24))</f>
        <v/>
      </c>
      <c r="F777" s="16">
        <f>IF(A777="","",IF(Calculator!$B$16=1,Calculator!$B$27,A777)*Calculator!$B$5*Calculator!$B$15)</f>
        <v/>
      </c>
      <c r="G777" s="16">
        <f>IF(A777="","",E777*Calculator!$B$6+Calculator!$C$37+F777+Calculator!$B$30)</f>
        <v/>
      </c>
      <c r="H777" s="16">
        <f>IF(A777="","",Calculator!$B$40-G777)</f>
        <v/>
      </c>
      <c r="I777" s="17">
        <f>IF(A777="","",A777*Calculator!$B$5*Calculator!$B$8/3600)</f>
        <v/>
      </c>
      <c r="J777" s="12">
        <f>IF(A777="","",Calculator!$B$35-E777)</f>
        <v/>
      </c>
    </row>
    <row r="778">
      <c r="A778" s="15">
        <f>IF(776/1000&lt;=Calculator!$B$27+0.0000001,776/1000,"")</f>
        <v/>
      </c>
      <c r="B778" s="15">
        <f>IF(A778="","",A778/Calculator!$B$27)</f>
        <v/>
      </c>
      <c r="C778" s="15">
        <f>IF(A778="","",Calculator!$B$27-A778)</f>
        <v/>
      </c>
      <c r="D778" s="17">
        <f>IF(A778="","",(Calculator!$B$11+C778)*Calculator!$B$5)</f>
        <v/>
      </c>
      <c r="E778" s="12">
        <f>IF(A778="","",IF(Calculator!$B$17=1,ROUNDUP(D778*Calculator!$B$8/3600/Calculator!$B$24-0.000000001,0),D778*Calculator!$B$8/3600/Calculator!$B$24))</f>
        <v/>
      </c>
      <c r="F778" s="16">
        <f>IF(A778="","",IF(Calculator!$B$16=1,Calculator!$B$27,A778)*Calculator!$B$5*Calculator!$B$15)</f>
        <v/>
      </c>
      <c r="G778" s="16">
        <f>IF(A778="","",E778*Calculator!$B$6+Calculator!$C$37+F778+Calculator!$B$30)</f>
        <v/>
      </c>
      <c r="H778" s="16">
        <f>IF(A778="","",Calculator!$B$40-G778)</f>
        <v/>
      </c>
      <c r="I778" s="17">
        <f>IF(A778="","",A778*Calculator!$B$5*Calculator!$B$8/3600)</f>
        <v/>
      </c>
      <c r="J778" s="12">
        <f>IF(A778="","",Calculator!$B$35-E778)</f>
        <v/>
      </c>
    </row>
    <row r="779">
      <c r="A779" s="15">
        <f>IF(777/1000&lt;=Calculator!$B$27+0.0000001,777/1000,"")</f>
        <v/>
      </c>
      <c r="B779" s="15">
        <f>IF(A779="","",A779/Calculator!$B$27)</f>
        <v/>
      </c>
      <c r="C779" s="15">
        <f>IF(A779="","",Calculator!$B$27-A779)</f>
        <v/>
      </c>
      <c r="D779" s="17">
        <f>IF(A779="","",(Calculator!$B$11+C779)*Calculator!$B$5)</f>
        <v/>
      </c>
      <c r="E779" s="12">
        <f>IF(A779="","",IF(Calculator!$B$17=1,ROUNDUP(D779*Calculator!$B$8/3600/Calculator!$B$24-0.000000001,0),D779*Calculator!$B$8/3600/Calculator!$B$24))</f>
        <v/>
      </c>
      <c r="F779" s="16">
        <f>IF(A779="","",IF(Calculator!$B$16=1,Calculator!$B$27,A779)*Calculator!$B$5*Calculator!$B$15)</f>
        <v/>
      </c>
      <c r="G779" s="16">
        <f>IF(A779="","",E779*Calculator!$B$6+Calculator!$C$37+F779+Calculator!$B$30)</f>
        <v/>
      </c>
      <c r="H779" s="16">
        <f>IF(A779="","",Calculator!$B$40-G779)</f>
        <v/>
      </c>
      <c r="I779" s="17">
        <f>IF(A779="","",A779*Calculator!$B$5*Calculator!$B$8/3600)</f>
        <v/>
      </c>
      <c r="J779" s="12">
        <f>IF(A779="","",Calculator!$B$35-E779)</f>
        <v/>
      </c>
    </row>
    <row r="780">
      <c r="A780" s="15">
        <f>IF(778/1000&lt;=Calculator!$B$27+0.0000001,778/1000,"")</f>
        <v/>
      </c>
      <c r="B780" s="15">
        <f>IF(A780="","",A780/Calculator!$B$27)</f>
        <v/>
      </c>
      <c r="C780" s="15">
        <f>IF(A780="","",Calculator!$B$27-A780)</f>
        <v/>
      </c>
      <c r="D780" s="17">
        <f>IF(A780="","",(Calculator!$B$11+C780)*Calculator!$B$5)</f>
        <v/>
      </c>
      <c r="E780" s="12">
        <f>IF(A780="","",IF(Calculator!$B$17=1,ROUNDUP(D780*Calculator!$B$8/3600/Calculator!$B$24-0.000000001,0),D780*Calculator!$B$8/3600/Calculator!$B$24))</f>
        <v/>
      </c>
      <c r="F780" s="16">
        <f>IF(A780="","",IF(Calculator!$B$16=1,Calculator!$B$27,A780)*Calculator!$B$5*Calculator!$B$15)</f>
        <v/>
      </c>
      <c r="G780" s="16">
        <f>IF(A780="","",E780*Calculator!$B$6+Calculator!$C$37+F780+Calculator!$B$30)</f>
        <v/>
      </c>
      <c r="H780" s="16">
        <f>IF(A780="","",Calculator!$B$40-G780)</f>
        <v/>
      </c>
      <c r="I780" s="17">
        <f>IF(A780="","",A780*Calculator!$B$5*Calculator!$B$8/3600)</f>
        <v/>
      </c>
      <c r="J780" s="12">
        <f>IF(A780="","",Calculator!$B$35-E780)</f>
        <v/>
      </c>
    </row>
    <row r="781">
      <c r="A781" s="15">
        <f>IF(779/1000&lt;=Calculator!$B$27+0.0000001,779/1000,"")</f>
        <v/>
      </c>
      <c r="B781" s="15">
        <f>IF(A781="","",A781/Calculator!$B$27)</f>
        <v/>
      </c>
      <c r="C781" s="15">
        <f>IF(A781="","",Calculator!$B$27-A781)</f>
        <v/>
      </c>
      <c r="D781" s="17">
        <f>IF(A781="","",(Calculator!$B$11+C781)*Calculator!$B$5)</f>
        <v/>
      </c>
      <c r="E781" s="12">
        <f>IF(A781="","",IF(Calculator!$B$17=1,ROUNDUP(D781*Calculator!$B$8/3600/Calculator!$B$24-0.000000001,0),D781*Calculator!$B$8/3600/Calculator!$B$24))</f>
        <v/>
      </c>
      <c r="F781" s="16">
        <f>IF(A781="","",IF(Calculator!$B$16=1,Calculator!$B$27,A781)*Calculator!$B$5*Calculator!$B$15)</f>
        <v/>
      </c>
      <c r="G781" s="16">
        <f>IF(A781="","",E781*Calculator!$B$6+Calculator!$C$37+F781+Calculator!$B$30)</f>
        <v/>
      </c>
      <c r="H781" s="16">
        <f>IF(A781="","",Calculator!$B$40-G781)</f>
        <v/>
      </c>
      <c r="I781" s="17">
        <f>IF(A781="","",A781*Calculator!$B$5*Calculator!$B$8/3600)</f>
        <v/>
      </c>
      <c r="J781" s="12">
        <f>IF(A781="","",Calculator!$B$35-E781)</f>
        <v/>
      </c>
    </row>
    <row r="782">
      <c r="A782" s="15">
        <f>IF(780/1000&lt;=Calculator!$B$27+0.0000001,780/1000,"")</f>
        <v/>
      </c>
      <c r="B782" s="15">
        <f>IF(A782="","",A782/Calculator!$B$27)</f>
        <v/>
      </c>
      <c r="C782" s="15">
        <f>IF(A782="","",Calculator!$B$27-A782)</f>
        <v/>
      </c>
      <c r="D782" s="17">
        <f>IF(A782="","",(Calculator!$B$11+C782)*Calculator!$B$5)</f>
        <v/>
      </c>
      <c r="E782" s="12">
        <f>IF(A782="","",IF(Calculator!$B$17=1,ROUNDUP(D782*Calculator!$B$8/3600/Calculator!$B$24-0.000000001,0),D782*Calculator!$B$8/3600/Calculator!$B$24))</f>
        <v/>
      </c>
      <c r="F782" s="16">
        <f>IF(A782="","",IF(Calculator!$B$16=1,Calculator!$B$27,A782)*Calculator!$B$5*Calculator!$B$15)</f>
        <v/>
      </c>
      <c r="G782" s="16">
        <f>IF(A782="","",E782*Calculator!$B$6+Calculator!$C$37+F782+Calculator!$B$30)</f>
        <v/>
      </c>
      <c r="H782" s="16">
        <f>IF(A782="","",Calculator!$B$40-G782)</f>
        <v/>
      </c>
      <c r="I782" s="17">
        <f>IF(A782="","",A782*Calculator!$B$5*Calculator!$B$8/3600)</f>
        <v/>
      </c>
      <c r="J782" s="12">
        <f>IF(A782="","",Calculator!$B$35-E782)</f>
        <v/>
      </c>
    </row>
    <row r="783">
      <c r="A783" s="15">
        <f>IF(781/1000&lt;=Calculator!$B$27+0.0000001,781/1000,"")</f>
        <v/>
      </c>
      <c r="B783" s="15">
        <f>IF(A783="","",A783/Calculator!$B$27)</f>
        <v/>
      </c>
      <c r="C783" s="15">
        <f>IF(A783="","",Calculator!$B$27-A783)</f>
        <v/>
      </c>
      <c r="D783" s="17">
        <f>IF(A783="","",(Calculator!$B$11+C783)*Calculator!$B$5)</f>
        <v/>
      </c>
      <c r="E783" s="12">
        <f>IF(A783="","",IF(Calculator!$B$17=1,ROUNDUP(D783*Calculator!$B$8/3600/Calculator!$B$24-0.000000001,0),D783*Calculator!$B$8/3600/Calculator!$B$24))</f>
        <v/>
      </c>
      <c r="F783" s="16">
        <f>IF(A783="","",IF(Calculator!$B$16=1,Calculator!$B$27,A783)*Calculator!$B$5*Calculator!$B$15)</f>
        <v/>
      </c>
      <c r="G783" s="16">
        <f>IF(A783="","",E783*Calculator!$B$6+Calculator!$C$37+F783+Calculator!$B$30)</f>
        <v/>
      </c>
      <c r="H783" s="16">
        <f>IF(A783="","",Calculator!$B$40-G783)</f>
        <v/>
      </c>
      <c r="I783" s="17">
        <f>IF(A783="","",A783*Calculator!$B$5*Calculator!$B$8/3600)</f>
        <v/>
      </c>
      <c r="J783" s="12">
        <f>IF(A783="","",Calculator!$B$35-E783)</f>
        <v/>
      </c>
    </row>
    <row r="784">
      <c r="A784" s="15">
        <f>IF(782/1000&lt;=Calculator!$B$27+0.0000001,782/1000,"")</f>
        <v/>
      </c>
      <c r="B784" s="15">
        <f>IF(A784="","",A784/Calculator!$B$27)</f>
        <v/>
      </c>
      <c r="C784" s="15">
        <f>IF(A784="","",Calculator!$B$27-A784)</f>
        <v/>
      </c>
      <c r="D784" s="17">
        <f>IF(A784="","",(Calculator!$B$11+C784)*Calculator!$B$5)</f>
        <v/>
      </c>
      <c r="E784" s="12">
        <f>IF(A784="","",IF(Calculator!$B$17=1,ROUNDUP(D784*Calculator!$B$8/3600/Calculator!$B$24-0.000000001,0),D784*Calculator!$B$8/3600/Calculator!$B$24))</f>
        <v/>
      </c>
      <c r="F784" s="16">
        <f>IF(A784="","",IF(Calculator!$B$16=1,Calculator!$B$27,A784)*Calculator!$B$5*Calculator!$B$15)</f>
        <v/>
      </c>
      <c r="G784" s="16">
        <f>IF(A784="","",E784*Calculator!$B$6+Calculator!$C$37+F784+Calculator!$B$30)</f>
        <v/>
      </c>
      <c r="H784" s="16">
        <f>IF(A784="","",Calculator!$B$40-G784)</f>
        <v/>
      </c>
      <c r="I784" s="17">
        <f>IF(A784="","",A784*Calculator!$B$5*Calculator!$B$8/3600)</f>
        <v/>
      </c>
      <c r="J784" s="12">
        <f>IF(A784="","",Calculator!$B$35-E784)</f>
        <v/>
      </c>
    </row>
    <row r="785">
      <c r="A785" s="15">
        <f>IF(783/1000&lt;=Calculator!$B$27+0.0000001,783/1000,"")</f>
        <v/>
      </c>
      <c r="B785" s="15">
        <f>IF(A785="","",A785/Calculator!$B$27)</f>
        <v/>
      </c>
      <c r="C785" s="15">
        <f>IF(A785="","",Calculator!$B$27-A785)</f>
        <v/>
      </c>
      <c r="D785" s="17">
        <f>IF(A785="","",(Calculator!$B$11+C785)*Calculator!$B$5)</f>
        <v/>
      </c>
      <c r="E785" s="12">
        <f>IF(A785="","",IF(Calculator!$B$17=1,ROUNDUP(D785*Calculator!$B$8/3600/Calculator!$B$24-0.000000001,0),D785*Calculator!$B$8/3600/Calculator!$B$24))</f>
        <v/>
      </c>
      <c r="F785" s="16">
        <f>IF(A785="","",IF(Calculator!$B$16=1,Calculator!$B$27,A785)*Calculator!$B$5*Calculator!$B$15)</f>
        <v/>
      </c>
      <c r="G785" s="16">
        <f>IF(A785="","",E785*Calculator!$B$6+Calculator!$C$37+F785+Calculator!$B$30)</f>
        <v/>
      </c>
      <c r="H785" s="16">
        <f>IF(A785="","",Calculator!$B$40-G785)</f>
        <v/>
      </c>
      <c r="I785" s="17">
        <f>IF(A785="","",A785*Calculator!$B$5*Calculator!$B$8/3600)</f>
        <v/>
      </c>
      <c r="J785" s="12">
        <f>IF(A785="","",Calculator!$B$35-E785)</f>
        <v/>
      </c>
    </row>
    <row r="786">
      <c r="A786" s="15">
        <f>IF(784/1000&lt;=Calculator!$B$27+0.0000001,784/1000,"")</f>
        <v/>
      </c>
      <c r="B786" s="15">
        <f>IF(A786="","",A786/Calculator!$B$27)</f>
        <v/>
      </c>
      <c r="C786" s="15">
        <f>IF(A786="","",Calculator!$B$27-A786)</f>
        <v/>
      </c>
      <c r="D786" s="17">
        <f>IF(A786="","",(Calculator!$B$11+C786)*Calculator!$B$5)</f>
        <v/>
      </c>
      <c r="E786" s="12">
        <f>IF(A786="","",IF(Calculator!$B$17=1,ROUNDUP(D786*Calculator!$B$8/3600/Calculator!$B$24-0.000000001,0),D786*Calculator!$B$8/3600/Calculator!$B$24))</f>
        <v/>
      </c>
      <c r="F786" s="16">
        <f>IF(A786="","",IF(Calculator!$B$16=1,Calculator!$B$27,A786)*Calculator!$B$5*Calculator!$B$15)</f>
        <v/>
      </c>
      <c r="G786" s="16">
        <f>IF(A786="","",E786*Calculator!$B$6+Calculator!$C$37+F786+Calculator!$B$30)</f>
        <v/>
      </c>
      <c r="H786" s="16">
        <f>IF(A786="","",Calculator!$B$40-G786)</f>
        <v/>
      </c>
      <c r="I786" s="17">
        <f>IF(A786="","",A786*Calculator!$B$5*Calculator!$B$8/3600)</f>
        <v/>
      </c>
      <c r="J786" s="12">
        <f>IF(A786="","",Calculator!$B$35-E786)</f>
        <v/>
      </c>
    </row>
    <row r="787">
      <c r="A787" s="15">
        <f>IF(785/1000&lt;=Calculator!$B$27+0.0000001,785/1000,"")</f>
        <v/>
      </c>
      <c r="B787" s="15">
        <f>IF(A787="","",A787/Calculator!$B$27)</f>
        <v/>
      </c>
      <c r="C787" s="15">
        <f>IF(A787="","",Calculator!$B$27-A787)</f>
        <v/>
      </c>
      <c r="D787" s="17">
        <f>IF(A787="","",(Calculator!$B$11+C787)*Calculator!$B$5)</f>
        <v/>
      </c>
      <c r="E787" s="12">
        <f>IF(A787="","",IF(Calculator!$B$17=1,ROUNDUP(D787*Calculator!$B$8/3600/Calculator!$B$24-0.000000001,0),D787*Calculator!$B$8/3600/Calculator!$B$24))</f>
        <v/>
      </c>
      <c r="F787" s="16">
        <f>IF(A787="","",IF(Calculator!$B$16=1,Calculator!$B$27,A787)*Calculator!$B$5*Calculator!$B$15)</f>
        <v/>
      </c>
      <c r="G787" s="16">
        <f>IF(A787="","",E787*Calculator!$B$6+Calculator!$C$37+F787+Calculator!$B$30)</f>
        <v/>
      </c>
      <c r="H787" s="16">
        <f>IF(A787="","",Calculator!$B$40-G787)</f>
        <v/>
      </c>
      <c r="I787" s="17">
        <f>IF(A787="","",A787*Calculator!$B$5*Calculator!$B$8/3600)</f>
        <v/>
      </c>
      <c r="J787" s="12">
        <f>IF(A787="","",Calculator!$B$35-E787)</f>
        <v/>
      </c>
    </row>
    <row r="788">
      <c r="A788" s="15">
        <f>IF(786/1000&lt;=Calculator!$B$27+0.0000001,786/1000,"")</f>
        <v/>
      </c>
      <c r="B788" s="15">
        <f>IF(A788="","",A788/Calculator!$B$27)</f>
        <v/>
      </c>
      <c r="C788" s="15">
        <f>IF(A788="","",Calculator!$B$27-A788)</f>
        <v/>
      </c>
      <c r="D788" s="17">
        <f>IF(A788="","",(Calculator!$B$11+C788)*Calculator!$B$5)</f>
        <v/>
      </c>
      <c r="E788" s="12">
        <f>IF(A788="","",IF(Calculator!$B$17=1,ROUNDUP(D788*Calculator!$B$8/3600/Calculator!$B$24-0.000000001,0),D788*Calculator!$B$8/3600/Calculator!$B$24))</f>
        <v/>
      </c>
      <c r="F788" s="16">
        <f>IF(A788="","",IF(Calculator!$B$16=1,Calculator!$B$27,A788)*Calculator!$B$5*Calculator!$B$15)</f>
        <v/>
      </c>
      <c r="G788" s="16">
        <f>IF(A788="","",E788*Calculator!$B$6+Calculator!$C$37+F788+Calculator!$B$30)</f>
        <v/>
      </c>
      <c r="H788" s="16">
        <f>IF(A788="","",Calculator!$B$40-G788)</f>
        <v/>
      </c>
      <c r="I788" s="17">
        <f>IF(A788="","",A788*Calculator!$B$5*Calculator!$B$8/3600)</f>
        <v/>
      </c>
      <c r="J788" s="12">
        <f>IF(A788="","",Calculator!$B$35-E788)</f>
        <v/>
      </c>
    </row>
    <row r="789">
      <c r="A789" s="15">
        <f>IF(787/1000&lt;=Calculator!$B$27+0.0000001,787/1000,"")</f>
        <v/>
      </c>
      <c r="B789" s="15">
        <f>IF(A789="","",A789/Calculator!$B$27)</f>
        <v/>
      </c>
      <c r="C789" s="15">
        <f>IF(A789="","",Calculator!$B$27-A789)</f>
        <v/>
      </c>
      <c r="D789" s="17">
        <f>IF(A789="","",(Calculator!$B$11+C789)*Calculator!$B$5)</f>
        <v/>
      </c>
      <c r="E789" s="12">
        <f>IF(A789="","",IF(Calculator!$B$17=1,ROUNDUP(D789*Calculator!$B$8/3600/Calculator!$B$24-0.000000001,0),D789*Calculator!$B$8/3600/Calculator!$B$24))</f>
        <v/>
      </c>
      <c r="F789" s="16">
        <f>IF(A789="","",IF(Calculator!$B$16=1,Calculator!$B$27,A789)*Calculator!$B$5*Calculator!$B$15)</f>
        <v/>
      </c>
      <c r="G789" s="16">
        <f>IF(A789="","",E789*Calculator!$B$6+Calculator!$C$37+F789+Calculator!$B$30)</f>
        <v/>
      </c>
      <c r="H789" s="16">
        <f>IF(A789="","",Calculator!$B$40-G789)</f>
        <v/>
      </c>
      <c r="I789" s="17">
        <f>IF(A789="","",A789*Calculator!$B$5*Calculator!$B$8/3600)</f>
        <v/>
      </c>
      <c r="J789" s="12">
        <f>IF(A789="","",Calculator!$B$35-E789)</f>
        <v/>
      </c>
    </row>
    <row r="790">
      <c r="A790" s="15">
        <f>IF(788/1000&lt;=Calculator!$B$27+0.0000001,788/1000,"")</f>
        <v/>
      </c>
      <c r="B790" s="15">
        <f>IF(A790="","",A790/Calculator!$B$27)</f>
        <v/>
      </c>
      <c r="C790" s="15">
        <f>IF(A790="","",Calculator!$B$27-A790)</f>
        <v/>
      </c>
      <c r="D790" s="17">
        <f>IF(A790="","",(Calculator!$B$11+C790)*Calculator!$B$5)</f>
        <v/>
      </c>
      <c r="E790" s="12">
        <f>IF(A790="","",IF(Calculator!$B$17=1,ROUNDUP(D790*Calculator!$B$8/3600/Calculator!$B$24-0.000000001,0),D790*Calculator!$B$8/3600/Calculator!$B$24))</f>
        <v/>
      </c>
      <c r="F790" s="16">
        <f>IF(A790="","",IF(Calculator!$B$16=1,Calculator!$B$27,A790)*Calculator!$B$5*Calculator!$B$15)</f>
        <v/>
      </c>
      <c r="G790" s="16">
        <f>IF(A790="","",E790*Calculator!$B$6+Calculator!$C$37+F790+Calculator!$B$30)</f>
        <v/>
      </c>
      <c r="H790" s="16">
        <f>IF(A790="","",Calculator!$B$40-G790)</f>
        <v/>
      </c>
      <c r="I790" s="17">
        <f>IF(A790="","",A790*Calculator!$B$5*Calculator!$B$8/3600)</f>
        <v/>
      </c>
      <c r="J790" s="12">
        <f>IF(A790="","",Calculator!$B$35-E790)</f>
        <v/>
      </c>
    </row>
    <row r="791">
      <c r="A791" s="15">
        <f>IF(789/1000&lt;=Calculator!$B$27+0.0000001,789/1000,"")</f>
        <v/>
      </c>
      <c r="B791" s="15">
        <f>IF(A791="","",A791/Calculator!$B$27)</f>
        <v/>
      </c>
      <c r="C791" s="15">
        <f>IF(A791="","",Calculator!$B$27-A791)</f>
        <v/>
      </c>
      <c r="D791" s="17">
        <f>IF(A791="","",(Calculator!$B$11+C791)*Calculator!$B$5)</f>
        <v/>
      </c>
      <c r="E791" s="12">
        <f>IF(A791="","",IF(Calculator!$B$17=1,ROUNDUP(D791*Calculator!$B$8/3600/Calculator!$B$24-0.000000001,0),D791*Calculator!$B$8/3600/Calculator!$B$24))</f>
        <v/>
      </c>
      <c r="F791" s="16">
        <f>IF(A791="","",IF(Calculator!$B$16=1,Calculator!$B$27,A791)*Calculator!$B$5*Calculator!$B$15)</f>
        <v/>
      </c>
      <c r="G791" s="16">
        <f>IF(A791="","",E791*Calculator!$B$6+Calculator!$C$37+F791+Calculator!$B$30)</f>
        <v/>
      </c>
      <c r="H791" s="16">
        <f>IF(A791="","",Calculator!$B$40-G791)</f>
        <v/>
      </c>
      <c r="I791" s="17">
        <f>IF(A791="","",A791*Calculator!$B$5*Calculator!$B$8/3600)</f>
        <v/>
      </c>
      <c r="J791" s="12">
        <f>IF(A791="","",Calculator!$B$35-E791)</f>
        <v/>
      </c>
    </row>
    <row r="792">
      <c r="A792" s="15">
        <f>IF(790/1000&lt;=Calculator!$B$27+0.0000001,790/1000,"")</f>
        <v/>
      </c>
      <c r="B792" s="15">
        <f>IF(A792="","",A792/Calculator!$B$27)</f>
        <v/>
      </c>
      <c r="C792" s="15">
        <f>IF(A792="","",Calculator!$B$27-A792)</f>
        <v/>
      </c>
      <c r="D792" s="17">
        <f>IF(A792="","",(Calculator!$B$11+C792)*Calculator!$B$5)</f>
        <v/>
      </c>
      <c r="E792" s="12">
        <f>IF(A792="","",IF(Calculator!$B$17=1,ROUNDUP(D792*Calculator!$B$8/3600/Calculator!$B$24-0.000000001,0),D792*Calculator!$B$8/3600/Calculator!$B$24))</f>
        <v/>
      </c>
      <c r="F792" s="16">
        <f>IF(A792="","",IF(Calculator!$B$16=1,Calculator!$B$27,A792)*Calculator!$B$5*Calculator!$B$15)</f>
        <v/>
      </c>
      <c r="G792" s="16">
        <f>IF(A792="","",E792*Calculator!$B$6+Calculator!$C$37+F792+Calculator!$B$30)</f>
        <v/>
      </c>
      <c r="H792" s="16">
        <f>IF(A792="","",Calculator!$B$40-G792)</f>
        <v/>
      </c>
      <c r="I792" s="17">
        <f>IF(A792="","",A792*Calculator!$B$5*Calculator!$B$8/3600)</f>
        <v/>
      </c>
      <c r="J792" s="12">
        <f>IF(A792="","",Calculator!$B$35-E792)</f>
        <v/>
      </c>
    </row>
    <row r="793">
      <c r="A793" s="15">
        <f>IF(791/1000&lt;=Calculator!$B$27+0.0000001,791/1000,"")</f>
        <v/>
      </c>
      <c r="B793" s="15">
        <f>IF(A793="","",A793/Calculator!$B$27)</f>
        <v/>
      </c>
      <c r="C793" s="15">
        <f>IF(A793="","",Calculator!$B$27-A793)</f>
        <v/>
      </c>
      <c r="D793" s="17">
        <f>IF(A793="","",(Calculator!$B$11+C793)*Calculator!$B$5)</f>
        <v/>
      </c>
      <c r="E793" s="12">
        <f>IF(A793="","",IF(Calculator!$B$17=1,ROUNDUP(D793*Calculator!$B$8/3600/Calculator!$B$24-0.000000001,0),D793*Calculator!$B$8/3600/Calculator!$B$24))</f>
        <v/>
      </c>
      <c r="F793" s="16">
        <f>IF(A793="","",IF(Calculator!$B$16=1,Calculator!$B$27,A793)*Calculator!$B$5*Calculator!$B$15)</f>
        <v/>
      </c>
      <c r="G793" s="16">
        <f>IF(A793="","",E793*Calculator!$B$6+Calculator!$C$37+F793+Calculator!$B$30)</f>
        <v/>
      </c>
      <c r="H793" s="16">
        <f>IF(A793="","",Calculator!$B$40-G793)</f>
        <v/>
      </c>
      <c r="I793" s="17">
        <f>IF(A793="","",A793*Calculator!$B$5*Calculator!$B$8/3600)</f>
        <v/>
      </c>
      <c r="J793" s="12">
        <f>IF(A793="","",Calculator!$B$35-E793)</f>
        <v/>
      </c>
    </row>
    <row r="794">
      <c r="A794" s="15">
        <f>IF(792/1000&lt;=Calculator!$B$27+0.0000001,792/1000,"")</f>
        <v/>
      </c>
      <c r="B794" s="15">
        <f>IF(A794="","",A794/Calculator!$B$27)</f>
        <v/>
      </c>
      <c r="C794" s="15">
        <f>IF(A794="","",Calculator!$B$27-A794)</f>
        <v/>
      </c>
      <c r="D794" s="17">
        <f>IF(A794="","",(Calculator!$B$11+C794)*Calculator!$B$5)</f>
        <v/>
      </c>
      <c r="E794" s="12">
        <f>IF(A794="","",IF(Calculator!$B$17=1,ROUNDUP(D794*Calculator!$B$8/3600/Calculator!$B$24-0.000000001,0),D794*Calculator!$B$8/3600/Calculator!$B$24))</f>
        <v/>
      </c>
      <c r="F794" s="16">
        <f>IF(A794="","",IF(Calculator!$B$16=1,Calculator!$B$27,A794)*Calculator!$B$5*Calculator!$B$15)</f>
        <v/>
      </c>
      <c r="G794" s="16">
        <f>IF(A794="","",E794*Calculator!$B$6+Calculator!$C$37+F794+Calculator!$B$30)</f>
        <v/>
      </c>
      <c r="H794" s="16">
        <f>IF(A794="","",Calculator!$B$40-G794)</f>
        <v/>
      </c>
      <c r="I794" s="17">
        <f>IF(A794="","",A794*Calculator!$B$5*Calculator!$B$8/3600)</f>
        <v/>
      </c>
      <c r="J794" s="12">
        <f>IF(A794="","",Calculator!$B$35-E794)</f>
        <v/>
      </c>
    </row>
    <row r="795">
      <c r="A795" s="15">
        <f>IF(793/1000&lt;=Calculator!$B$27+0.0000001,793/1000,"")</f>
        <v/>
      </c>
      <c r="B795" s="15">
        <f>IF(A795="","",A795/Calculator!$B$27)</f>
        <v/>
      </c>
      <c r="C795" s="15">
        <f>IF(A795="","",Calculator!$B$27-A795)</f>
        <v/>
      </c>
      <c r="D795" s="17">
        <f>IF(A795="","",(Calculator!$B$11+C795)*Calculator!$B$5)</f>
        <v/>
      </c>
      <c r="E795" s="12">
        <f>IF(A795="","",IF(Calculator!$B$17=1,ROUNDUP(D795*Calculator!$B$8/3600/Calculator!$B$24-0.000000001,0),D795*Calculator!$B$8/3600/Calculator!$B$24))</f>
        <v/>
      </c>
      <c r="F795" s="16">
        <f>IF(A795="","",IF(Calculator!$B$16=1,Calculator!$B$27,A795)*Calculator!$B$5*Calculator!$B$15)</f>
        <v/>
      </c>
      <c r="G795" s="16">
        <f>IF(A795="","",E795*Calculator!$B$6+Calculator!$C$37+F795+Calculator!$B$30)</f>
        <v/>
      </c>
      <c r="H795" s="16">
        <f>IF(A795="","",Calculator!$B$40-G795)</f>
        <v/>
      </c>
      <c r="I795" s="17">
        <f>IF(A795="","",A795*Calculator!$B$5*Calculator!$B$8/3600)</f>
        <v/>
      </c>
      <c r="J795" s="12">
        <f>IF(A795="","",Calculator!$B$35-E795)</f>
        <v/>
      </c>
    </row>
    <row r="796">
      <c r="A796" s="15">
        <f>IF(794/1000&lt;=Calculator!$B$27+0.0000001,794/1000,"")</f>
        <v/>
      </c>
      <c r="B796" s="15">
        <f>IF(A796="","",A796/Calculator!$B$27)</f>
        <v/>
      </c>
      <c r="C796" s="15">
        <f>IF(A796="","",Calculator!$B$27-A796)</f>
        <v/>
      </c>
      <c r="D796" s="17">
        <f>IF(A796="","",(Calculator!$B$11+C796)*Calculator!$B$5)</f>
        <v/>
      </c>
      <c r="E796" s="12">
        <f>IF(A796="","",IF(Calculator!$B$17=1,ROUNDUP(D796*Calculator!$B$8/3600/Calculator!$B$24-0.000000001,0),D796*Calculator!$B$8/3600/Calculator!$B$24))</f>
        <v/>
      </c>
      <c r="F796" s="16">
        <f>IF(A796="","",IF(Calculator!$B$16=1,Calculator!$B$27,A796)*Calculator!$B$5*Calculator!$B$15)</f>
        <v/>
      </c>
      <c r="G796" s="16">
        <f>IF(A796="","",E796*Calculator!$B$6+Calculator!$C$37+F796+Calculator!$B$30)</f>
        <v/>
      </c>
      <c r="H796" s="16">
        <f>IF(A796="","",Calculator!$B$40-G796)</f>
        <v/>
      </c>
      <c r="I796" s="17">
        <f>IF(A796="","",A796*Calculator!$B$5*Calculator!$B$8/3600)</f>
        <v/>
      </c>
      <c r="J796" s="12">
        <f>IF(A796="","",Calculator!$B$35-E796)</f>
        <v/>
      </c>
    </row>
    <row r="797">
      <c r="A797" s="15">
        <f>IF(795/1000&lt;=Calculator!$B$27+0.0000001,795/1000,"")</f>
        <v/>
      </c>
      <c r="B797" s="15">
        <f>IF(A797="","",A797/Calculator!$B$27)</f>
        <v/>
      </c>
      <c r="C797" s="15">
        <f>IF(A797="","",Calculator!$B$27-A797)</f>
        <v/>
      </c>
      <c r="D797" s="17">
        <f>IF(A797="","",(Calculator!$B$11+C797)*Calculator!$B$5)</f>
        <v/>
      </c>
      <c r="E797" s="12">
        <f>IF(A797="","",IF(Calculator!$B$17=1,ROUNDUP(D797*Calculator!$B$8/3600/Calculator!$B$24-0.000000001,0),D797*Calculator!$B$8/3600/Calculator!$B$24))</f>
        <v/>
      </c>
      <c r="F797" s="16">
        <f>IF(A797="","",IF(Calculator!$B$16=1,Calculator!$B$27,A797)*Calculator!$B$5*Calculator!$B$15)</f>
        <v/>
      </c>
      <c r="G797" s="16">
        <f>IF(A797="","",E797*Calculator!$B$6+Calculator!$C$37+F797+Calculator!$B$30)</f>
        <v/>
      </c>
      <c r="H797" s="16">
        <f>IF(A797="","",Calculator!$B$40-G797)</f>
        <v/>
      </c>
      <c r="I797" s="17">
        <f>IF(A797="","",A797*Calculator!$B$5*Calculator!$B$8/3600)</f>
        <v/>
      </c>
      <c r="J797" s="12">
        <f>IF(A797="","",Calculator!$B$35-E797)</f>
        <v/>
      </c>
    </row>
    <row r="798">
      <c r="A798" s="15">
        <f>IF(796/1000&lt;=Calculator!$B$27+0.0000001,796/1000,"")</f>
        <v/>
      </c>
      <c r="B798" s="15">
        <f>IF(A798="","",A798/Calculator!$B$27)</f>
        <v/>
      </c>
      <c r="C798" s="15">
        <f>IF(A798="","",Calculator!$B$27-A798)</f>
        <v/>
      </c>
      <c r="D798" s="17">
        <f>IF(A798="","",(Calculator!$B$11+C798)*Calculator!$B$5)</f>
        <v/>
      </c>
      <c r="E798" s="12">
        <f>IF(A798="","",IF(Calculator!$B$17=1,ROUNDUP(D798*Calculator!$B$8/3600/Calculator!$B$24-0.000000001,0),D798*Calculator!$B$8/3600/Calculator!$B$24))</f>
        <v/>
      </c>
      <c r="F798" s="16">
        <f>IF(A798="","",IF(Calculator!$B$16=1,Calculator!$B$27,A798)*Calculator!$B$5*Calculator!$B$15)</f>
        <v/>
      </c>
      <c r="G798" s="16">
        <f>IF(A798="","",E798*Calculator!$B$6+Calculator!$C$37+F798+Calculator!$B$30)</f>
        <v/>
      </c>
      <c r="H798" s="16">
        <f>IF(A798="","",Calculator!$B$40-G798)</f>
        <v/>
      </c>
      <c r="I798" s="17">
        <f>IF(A798="","",A798*Calculator!$B$5*Calculator!$B$8/3600)</f>
        <v/>
      </c>
      <c r="J798" s="12">
        <f>IF(A798="","",Calculator!$B$35-E798)</f>
        <v/>
      </c>
    </row>
    <row r="799">
      <c r="A799" s="15">
        <f>IF(797/1000&lt;=Calculator!$B$27+0.0000001,797/1000,"")</f>
        <v/>
      </c>
      <c r="B799" s="15">
        <f>IF(A799="","",A799/Calculator!$B$27)</f>
        <v/>
      </c>
      <c r="C799" s="15">
        <f>IF(A799="","",Calculator!$B$27-A799)</f>
        <v/>
      </c>
      <c r="D799" s="17">
        <f>IF(A799="","",(Calculator!$B$11+C799)*Calculator!$B$5)</f>
        <v/>
      </c>
      <c r="E799" s="12">
        <f>IF(A799="","",IF(Calculator!$B$17=1,ROUNDUP(D799*Calculator!$B$8/3600/Calculator!$B$24-0.000000001,0),D799*Calculator!$B$8/3600/Calculator!$B$24))</f>
        <v/>
      </c>
      <c r="F799" s="16">
        <f>IF(A799="","",IF(Calculator!$B$16=1,Calculator!$B$27,A799)*Calculator!$B$5*Calculator!$B$15)</f>
        <v/>
      </c>
      <c r="G799" s="16">
        <f>IF(A799="","",E799*Calculator!$B$6+Calculator!$C$37+F799+Calculator!$B$30)</f>
        <v/>
      </c>
      <c r="H799" s="16">
        <f>IF(A799="","",Calculator!$B$40-G799)</f>
        <v/>
      </c>
      <c r="I799" s="17">
        <f>IF(A799="","",A799*Calculator!$B$5*Calculator!$B$8/3600)</f>
        <v/>
      </c>
      <c r="J799" s="12">
        <f>IF(A799="","",Calculator!$B$35-E799)</f>
        <v/>
      </c>
    </row>
    <row r="800">
      <c r="A800" s="15">
        <f>IF(798/1000&lt;=Calculator!$B$27+0.0000001,798/1000,"")</f>
        <v/>
      </c>
      <c r="B800" s="15">
        <f>IF(A800="","",A800/Calculator!$B$27)</f>
        <v/>
      </c>
      <c r="C800" s="15">
        <f>IF(A800="","",Calculator!$B$27-A800)</f>
        <v/>
      </c>
      <c r="D800" s="17">
        <f>IF(A800="","",(Calculator!$B$11+C800)*Calculator!$B$5)</f>
        <v/>
      </c>
      <c r="E800" s="12">
        <f>IF(A800="","",IF(Calculator!$B$17=1,ROUNDUP(D800*Calculator!$B$8/3600/Calculator!$B$24-0.000000001,0),D800*Calculator!$B$8/3600/Calculator!$B$24))</f>
        <v/>
      </c>
      <c r="F800" s="16">
        <f>IF(A800="","",IF(Calculator!$B$16=1,Calculator!$B$27,A800)*Calculator!$B$5*Calculator!$B$15)</f>
        <v/>
      </c>
      <c r="G800" s="16">
        <f>IF(A800="","",E800*Calculator!$B$6+Calculator!$C$37+F800+Calculator!$B$30)</f>
        <v/>
      </c>
      <c r="H800" s="16">
        <f>IF(A800="","",Calculator!$B$40-G800)</f>
        <v/>
      </c>
      <c r="I800" s="17">
        <f>IF(A800="","",A800*Calculator!$B$5*Calculator!$B$8/3600)</f>
        <v/>
      </c>
      <c r="J800" s="12">
        <f>IF(A800="","",Calculator!$B$35-E800)</f>
        <v/>
      </c>
    </row>
    <row r="801">
      <c r="A801" s="15">
        <f>IF(799/1000&lt;=Calculator!$B$27+0.0000001,799/1000,"")</f>
        <v/>
      </c>
      <c r="B801" s="15">
        <f>IF(A801="","",A801/Calculator!$B$27)</f>
        <v/>
      </c>
      <c r="C801" s="15">
        <f>IF(A801="","",Calculator!$B$27-A801)</f>
        <v/>
      </c>
      <c r="D801" s="17">
        <f>IF(A801="","",(Calculator!$B$11+C801)*Calculator!$B$5)</f>
        <v/>
      </c>
      <c r="E801" s="12">
        <f>IF(A801="","",IF(Calculator!$B$17=1,ROUNDUP(D801*Calculator!$B$8/3600/Calculator!$B$24-0.000000001,0),D801*Calculator!$B$8/3600/Calculator!$B$24))</f>
        <v/>
      </c>
      <c r="F801" s="16">
        <f>IF(A801="","",IF(Calculator!$B$16=1,Calculator!$B$27,A801)*Calculator!$B$5*Calculator!$B$15)</f>
        <v/>
      </c>
      <c r="G801" s="16">
        <f>IF(A801="","",E801*Calculator!$B$6+Calculator!$C$37+F801+Calculator!$B$30)</f>
        <v/>
      </c>
      <c r="H801" s="16">
        <f>IF(A801="","",Calculator!$B$40-G801)</f>
        <v/>
      </c>
      <c r="I801" s="17">
        <f>IF(A801="","",A801*Calculator!$B$5*Calculator!$B$8/3600)</f>
        <v/>
      </c>
      <c r="J801" s="12">
        <f>IF(A801="","",Calculator!$B$35-E801)</f>
        <v/>
      </c>
    </row>
    <row r="802">
      <c r="A802" s="15">
        <f>IF(800/1000&lt;=Calculator!$B$27+0.0000001,800/1000,"")</f>
        <v/>
      </c>
      <c r="B802" s="15">
        <f>IF(A802="","",A802/Calculator!$B$27)</f>
        <v/>
      </c>
      <c r="C802" s="15">
        <f>IF(A802="","",Calculator!$B$27-A802)</f>
        <v/>
      </c>
      <c r="D802" s="17">
        <f>IF(A802="","",(Calculator!$B$11+C802)*Calculator!$B$5)</f>
        <v/>
      </c>
      <c r="E802" s="12">
        <f>IF(A802="","",IF(Calculator!$B$17=1,ROUNDUP(D802*Calculator!$B$8/3600/Calculator!$B$24-0.000000001,0),D802*Calculator!$B$8/3600/Calculator!$B$24))</f>
        <v/>
      </c>
      <c r="F802" s="16">
        <f>IF(A802="","",IF(Calculator!$B$16=1,Calculator!$B$27,A802)*Calculator!$B$5*Calculator!$B$15)</f>
        <v/>
      </c>
      <c r="G802" s="16">
        <f>IF(A802="","",E802*Calculator!$B$6+Calculator!$C$37+F802+Calculator!$B$30)</f>
        <v/>
      </c>
      <c r="H802" s="16">
        <f>IF(A802="","",Calculator!$B$40-G802)</f>
        <v/>
      </c>
      <c r="I802" s="17">
        <f>IF(A802="","",A802*Calculator!$B$5*Calculator!$B$8/3600)</f>
        <v/>
      </c>
      <c r="J802" s="12">
        <f>IF(A802="","",Calculator!$B$35-E802)</f>
        <v/>
      </c>
    </row>
    <row r="803">
      <c r="A803" s="15">
        <f>IF(801/1000&lt;=Calculator!$B$27+0.0000001,801/1000,"")</f>
        <v/>
      </c>
      <c r="B803" s="15">
        <f>IF(A803="","",A803/Calculator!$B$27)</f>
        <v/>
      </c>
      <c r="C803" s="15">
        <f>IF(A803="","",Calculator!$B$27-A803)</f>
        <v/>
      </c>
      <c r="D803" s="17">
        <f>IF(A803="","",(Calculator!$B$11+C803)*Calculator!$B$5)</f>
        <v/>
      </c>
      <c r="E803" s="12">
        <f>IF(A803="","",IF(Calculator!$B$17=1,ROUNDUP(D803*Calculator!$B$8/3600/Calculator!$B$24-0.000000001,0),D803*Calculator!$B$8/3600/Calculator!$B$24))</f>
        <v/>
      </c>
      <c r="F803" s="16">
        <f>IF(A803="","",IF(Calculator!$B$16=1,Calculator!$B$27,A803)*Calculator!$B$5*Calculator!$B$15)</f>
        <v/>
      </c>
      <c r="G803" s="16">
        <f>IF(A803="","",E803*Calculator!$B$6+Calculator!$C$37+F803+Calculator!$B$30)</f>
        <v/>
      </c>
      <c r="H803" s="16">
        <f>IF(A803="","",Calculator!$B$40-G803)</f>
        <v/>
      </c>
      <c r="I803" s="17">
        <f>IF(A803="","",A803*Calculator!$B$5*Calculator!$B$8/3600)</f>
        <v/>
      </c>
      <c r="J803" s="12">
        <f>IF(A803="","",Calculator!$B$35-E803)</f>
        <v/>
      </c>
    </row>
    <row r="804">
      <c r="A804" s="15">
        <f>IF(802/1000&lt;=Calculator!$B$27+0.0000001,802/1000,"")</f>
        <v/>
      </c>
      <c r="B804" s="15">
        <f>IF(A804="","",A804/Calculator!$B$27)</f>
        <v/>
      </c>
      <c r="C804" s="15">
        <f>IF(A804="","",Calculator!$B$27-A804)</f>
        <v/>
      </c>
      <c r="D804" s="17">
        <f>IF(A804="","",(Calculator!$B$11+C804)*Calculator!$B$5)</f>
        <v/>
      </c>
      <c r="E804" s="12">
        <f>IF(A804="","",IF(Calculator!$B$17=1,ROUNDUP(D804*Calculator!$B$8/3600/Calculator!$B$24-0.000000001,0),D804*Calculator!$B$8/3600/Calculator!$B$24))</f>
        <v/>
      </c>
      <c r="F804" s="16">
        <f>IF(A804="","",IF(Calculator!$B$16=1,Calculator!$B$27,A804)*Calculator!$B$5*Calculator!$B$15)</f>
        <v/>
      </c>
      <c r="G804" s="16">
        <f>IF(A804="","",E804*Calculator!$B$6+Calculator!$C$37+F804+Calculator!$B$30)</f>
        <v/>
      </c>
      <c r="H804" s="16">
        <f>IF(A804="","",Calculator!$B$40-G804)</f>
        <v/>
      </c>
      <c r="I804" s="17">
        <f>IF(A804="","",A804*Calculator!$B$5*Calculator!$B$8/3600)</f>
        <v/>
      </c>
      <c r="J804" s="12">
        <f>IF(A804="","",Calculator!$B$35-E804)</f>
        <v/>
      </c>
    </row>
    <row r="805">
      <c r="A805" s="15">
        <f>IF(803/1000&lt;=Calculator!$B$27+0.0000001,803/1000,"")</f>
        <v/>
      </c>
      <c r="B805" s="15">
        <f>IF(A805="","",A805/Calculator!$B$27)</f>
        <v/>
      </c>
      <c r="C805" s="15">
        <f>IF(A805="","",Calculator!$B$27-A805)</f>
        <v/>
      </c>
      <c r="D805" s="17">
        <f>IF(A805="","",(Calculator!$B$11+C805)*Calculator!$B$5)</f>
        <v/>
      </c>
      <c r="E805" s="12">
        <f>IF(A805="","",IF(Calculator!$B$17=1,ROUNDUP(D805*Calculator!$B$8/3600/Calculator!$B$24-0.000000001,0),D805*Calculator!$B$8/3600/Calculator!$B$24))</f>
        <v/>
      </c>
      <c r="F805" s="16">
        <f>IF(A805="","",IF(Calculator!$B$16=1,Calculator!$B$27,A805)*Calculator!$B$5*Calculator!$B$15)</f>
        <v/>
      </c>
      <c r="G805" s="16">
        <f>IF(A805="","",E805*Calculator!$B$6+Calculator!$C$37+F805+Calculator!$B$30)</f>
        <v/>
      </c>
      <c r="H805" s="16">
        <f>IF(A805="","",Calculator!$B$40-G805)</f>
        <v/>
      </c>
      <c r="I805" s="17">
        <f>IF(A805="","",A805*Calculator!$B$5*Calculator!$B$8/3600)</f>
        <v/>
      </c>
      <c r="J805" s="12">
        <f>IF(A805="","",Calculator!$B$35-E805)</f>
        <v/>
      </c>
    </row>
    <row r="806">
      <c r="A806" s="15">
        <f>IF(804/1000&lt;=Calculator!$B$27+0.0000001,804/1000,"")</f>
        <v/>
      </c>
      <c r="B806" s="15">
        <f>IF(A806="","",A806/Calculator!$B$27)</f>
        <v/>
      </c>
      <c r="C806" s="15">
        <f>IF(A806="","",Calculator!$B$27-A806)</f>
        <v/>
      </c>
      <c r="D806" s="17">
        <f>IF(A806="","",(Calculator!$B$11+C806)*Calculator!$B$5)</f>
        <v/>
      </c>
      <c r="E806" s="12">
        <f>IF(A806="","",IF(Calculator!$B$17=1,ROUNDUP(D806*Calculator!$B$8/3600/Calculator!$B$24-0.000000001,0),D806*Calculator!$B$8/3600/Calculator!$B$24))</f>
        <v/>
      </c>
      <c r="F806" s="16">
        <f>IF(A806="","",IF(Calculator!$B$16=1,Calculator!$B$27,A806)*Calculator!$B$5*Calculator!$B$15)</f>
        <v/>
      </c>
      <c r="G806" s="16">
        <f>IF(A806="","",E806*Calculator!$B$6+Calculator!$C$37+F806+Calculator!$B$30)</f>
        <v/>
      </c>
      <c r="H806" s="16">
        <f>IF(A806="","",Calculator!$B$40-G806)</f>
        <v/>
      </c>
      <c r="I806" s="17">
        <f>IF(A806="","",A806*Calculator!$B$5*Calculator!$B$8/3600)</f>
        <v/>
      </c>
      <c r="J806" s="12">
        <f>IF(A806="","",Calculator!$B$35-E806)</f>
        <v/>
      </c>
    </row>
    <row r="807">
      <c r="A807" s="15">
        <f>IF(805/1000&lt;=Calculator!$B$27+0.0000001,805/1000,"")</f>
        <v/>
      </c>
      <c r="B807" s="15">
        <f>IF(A807="","",A807/Calculator!$B$27)</f>
        <v/>
      </c>
      <c r="C807" s="15">
        <f>IF(A807="","",Calculator!$B$27-A807)</f>
        <v/>
      </c>
      <c r="D807" s="17">
        <f>IF(A807="","",(Calculator!$B$11+C807)*Calculator!$B$5)</f>
        <v/>
      </c>
      <c r="E807" s="12">
        <f>IF(A807="","",IF(Calculator!$B$17=1,ROUNDUP(D807*Calculator!$B$8/3600/Calculator!$B$24-0.000000001,0),D807*Calculator!$B$8/3600/Calculator!$B$24))</f>
        <v/>
      </c>
      <c r="F807" s="16">
        <f>IF(A807="","",IF(Calculator!$B$16=1,Calculator!$B$27,A807)*Calculator!$B$5*Calculator!$B$15)</f>
        <v/>
      </c>
      <c r="G807" s="16">
        <f>IF(A807="","",E807*Calculator!$B$6+Calculator!$C$37+F807+Calculator!$B$30)</f>
        <v/>
      </c>
      <c r="H807" s="16">
        <f>IF(A807="","",Calculator!$B$40-G807)</f>
        <v/>
      </c>
      <c r="I807" s="17">
        <f>IF(A807="","",A807*Calculator!$B$5*Calculator!$B$8/3600)</f>
        <v/>
      </c>
      <c r="J807" s="12">
        <f>IF(A807="","",Calculator!$B$35-E807)</f>
        <v/>
      </c>
    </row>
    <row r="808">
      <c r="A808" s="15">
        <f>IF(806/1000&lt;=Calculator!$B$27+0.0000001,806/1000,"")</f>
        <v/>
      </c>
      <c r="B808" s="15">
        <f>IF(A808="","",A808/Calculator!$B$27)</f>
        <v/>
      </c>
      <c r="C808" s="15">
        <f>IF(A808="","",Calculator!$B$27-A808)</f>
        <v/>
      </c>
      <c r="D808" s="17">
        <f>IF(A808="","",(Calculator!$B$11+C808)*Calculator!$B$5)</f>
        <v/>
      </c>
      <c r="E808" s="12">
        <f>IF(A808="","",IF(Calculator!$B$17=1,ROUNDUP(D808*Calculator!$B$8/3600/Calculator!$B$24-0.000000001,0),D808*Calculator!$B$8/3600/Calculator!$B$24))</f>
        <v/>
      </c>
      <c r="F808" s="16">
        <f>IF(A808="","",IF(Calculator!$B$16=1,Calculator!$B$27,A808)*Calculator!$B$5*Calculator!$B$15)</f>
        <v/>
      </c>
      <c r="G808" s="16">
        <f>IF(A808="","",E808*Calculator!$B$6+Calculator!$C$37+F808+Calculator!$B$30)</f>
        <v/>
      </c>
      <c r="H808" s="16">
        <f>IF(A808="","",Calculator!$B$40-G808)</f>
        <v/>
      </c>
      <c r="I808" s="17">
        <f>IF(A808="","",A808*Calculator!$B$5*Calculator!$B$8/3600)</f>
        <v/>
      </c>
      <c r="J808" s="12">
        <f>IF(A808="","",Calculator!$B$35-E808)</f>
        <v/>
      </c>
    </row>
    <row r="809">
      <c r="A809" s="15">
        <f>IF(807/1000&lt;=Calculator!$B$27+0.0000001,807/1000,"")</f>
        <v/>
      </c>
      <c r="B809" s="15">
        <f>IF(A809="","",A809/Calculator!$B$27)</f>
        <v/>
      </c>
      <c r="C809" s="15">
        <f>IF(A809="","",Calculator!$B$27-A809)</f>
        <v/>
      </c>
      <c r="D809" s="17">
        <f>IF(A809="","",(Calculator!$B$11+C809)*Calculator!$B$5)</f>
        <v/>
      </c>
      <c r="E809" s="12">
        <f>IF(A809="","",IF(Calculator!$B$17=1,ROUNDUP(D809*Calculator!$B$8/3600/Calculator!$B$24-0.000000001,0),D809*Calculator!$B$8/3600/Calculator!$B$24))</f>
        <v/>
      </c>
      <c r="F809" s="16">
        <f>IF(A809="","",IF(Calculator!$B$16=1,Calculator!$B$27,A809)*Calculator!$B$5*Calculator!$B$15)</f>
        <v/>
      </c>
      <c r="G809" s="16">
        <f>IF(A809="","",E809*Calculator!$B$6+Calculator!$C$37+F809+Calculator!$B$30)</f>
        <v/>
      </c>
      <c r="H809" s="16">
        <f>IF(A809="","",Calculator!$B$40-G809)</f>
        <v/>
      </c>
      <c r="I809" s="17">
        <f>IF(A809="","",A809*Calculator!$B$5*Calculator!$B$8/3600)</f>
        <v/>
      </c>
      <c r="J809" s="12">
        <f>IF(A809="","",Calculator!$B$35-E809)</f>
        <v/>
      </c>
    </row>
    <row r="810">
      <c r="A810" s="15">
        <f>IF(808/1000&lt;=Calculator!$B$27+0.0000001,808/1000,"")</f>
        <v/>
      </c>
      <c r="B810" s="15">
        <f>IF(A810="","",A810/Calculator!$B$27)</f>
        <v/>
      </c>
      <c r="C810" s="15">
        <f>IF(A810="","",Calculator!$B$27-A810)</f>
        <v/>
      </c>
      <c r="D810" s="17">
        <f>IF(A810="","",(Calculator!$B$11+C810)*Calculator!$B$5)</f>
        <v/>
      </c>
      <c r="E810" s="12">
        <f>IF(A810="","",IF(Calculator!$B$17=1,ROUNDUP(D810*Calculator!$B$8/3600/Calculator!$B$24-0.000000001,0),D810*Calculator!$B$8/3600/Calculator!$B$24))</f>
        <v/>
      </c>
      <c r="F810" s="16">
        <f>IF(A810="","",IF(Calculator!$B$16=1,Calculator!$B$27,A810)*Calculator!$B$5*Calculator!$B$15)</f>
        <v/>
      </c>
      <c r="G810" s="16">
        <f>IF(A810="","",E810*Calculator!$B$6+Calculator!$C$37+F810+Calculator!$B$30)</f>
        <v/>
      </c>
      <c r="H810" s="16">
        <f>IF(A810="","",Calculator!$B$40-G810)</f>
        <v/>
      </c>
      <c r="I810" s="17">
        <f>IF(A810="","",A810*Calculator!$B$5*Calculator!$B$8/3600)</f>
        <v/>
      </c>
      <c r="J810" s="12">
        <f>IF(A810="","",Calculator!$B$35-E810)</f>
        <v/>
      </c>
    </row>
    <row r="811">
      <c r="A811" s="15">
        <f>IF(809/1000&lt;=Calculator!$B$27+0.0000001,809/1000,"")</f>
        <v/>
      </c>
      <c r="B811" s="15">
        <f>IF(A811="","",A811/Calculator!$B$27)</f>
        <v/>
      </c>
      <c r="C811" s="15">
        <f>IF(A811="","",Calculator!$B$27-A811)</f>
        <v/>
      </c>
      <c r="D811" s="17">
        <f>IF(A811="","",(Calculator!$B$11+C811)*Calculator!$B$5)</f>
        <v/>
      </c>
      <c r="E811" s="12">
        <f>IF(A811="","",IF(Calculator!$B$17=1,ROUNDUP(D811*Calculator!$B$8/3600/Calculator!$B$24-0.000000001,0),D811*Calculator!$B$8/3600/Calculator!$B$24))</f>
        <v/>
      </c>
      <c r="F811" s="16">
        <f>IF(A811="","",IF(Calculator!$B$16=1,Calculator!$B$27,A811)*Calculator!$B$5*Calculator!$B$15)</f>
        <v/>
      </c>
      <c r="G811" s="16">
        <f>IF(A811="","",E811*Calculator!$B$6+Calculator!$C$37+F811+Calculator!$B$30)</f>
        <v/>
      </c>
      <c r="H811" s="16">
        <f>IF(A811="","",Calculator!$B$40-G811)</f>
        <v/>
      </c>
      <c r="I811" s="17">
        <f>IF(A811="","",A811*Calculator!$B$5*Calculator!$B$8/3600)</f>
        <v/>
      </c>
      <c r="J811" s="12">
        <f>IF(A811="","",Calculator!$B$35-E811)</f>
        <v/>
      </c>
    </row>
    <row r="812">
      <c r="A812" s="15">
        <f>IF(810/1000&lt;=Calculator!$B$27+0.0000001,810/1000,"")</f>
        <v/>
      </c>
      <c r="B812" s="15">
        <f>IF(A812="","",A812/Calculator!$B$27)</f>
        <v/>
      </c>
      <c r="C812" s="15">
        <f>IF(A812="","",Calculator!$B$27-A812)</f>
        <v/>
      </c>
      <c r="D812" s="17">
        <f>IF(A812="","",(Calculator!$B$11+C812)*Calculator!$B$5)</f>
        <v/>
      </c>
      <c r="E812" s="12">
        <f>IF(A812="","",IF(Calculator!$B$17=1,ROUNDUP(D812*Calculator!$B$8/3600/Calculator!$B$24-0.000000001,0),D812*Calculator!$B$8/3600/Calculator!$B$24))</f>
        <v/>
      </c>
      <c r="F812" s="16">
        <f>IF(A812="","",IF(Calculator!$B$16=1,Calculator!$B$27,A812)*Calculator!$B$5*Calculator!$B$15)</f>
        <v/>
      </c>
      <c r="G812" s="16">
        <f>IF(A812="","",E812*Calculator!$B$6+Calculator!$C$37+F812+Calculator!$B$30)</f>
        <v/>
      </c>
      <c r="H812" s="16">
        <f>IF(A812="","",Calculator!$B$40-G812)</f>
        <v/>
      </c>
      <c r="I812" s="17">
        <f>IF(A812="","",A812*Calculator!$B$5*Calculator!$B$8/3600)</f>
        <v/>
      </c>
      <c r="J812" s="12">
        <f>IF(A812="","",Calculator!$B$35-E812)</f>
        <v/>
      </c>
    </row>
    <row r="813">
      <c r="A813" s="15">
        <f>IF(811/1000&lt;=Calculator!$B$27+0.0000001,811/1000,"")</f>
        <v/>
      </c>
      <c r="B813" s="15">
        <f>IF(A813="","",A813/Calculator!$B$27)</f>
        <v/>
      </c>
      <c r="C813" s="15">
        <f>IF(A813="","",Calculator!$B$27-A813)</f>
        <v/>
      </c>
      <c r="D813" s="17">
        <f>IF(A813="","",(Calculator!$B$11+C813)*Calculator!$B$5)</f>
        <v/>
      </c>
      <c r="E813" s="12">
        <f>IF(A813="","",IF(Calculator!$B$17=1,ROUNDUP(D813*Calculator!$B$8/3600/Calculator!$B$24-0.000000001,0),D813*Calculator!$B$8/3600/Calculator!$B$24))</f>
        <v/>
      </c>
      <c r="F813" s="16">
        <f>IF(A813="","",IF(Calculator!$B$16=1,Calculator!$B$27,A813)*Calculator!$B$5*Calculator!$B$15)</f>
        <v/>
      </c>
      <c r="G813" s="16">
        <f>IF(A813="","",E813*Calculator!$B$6+Calculator!$C$37+F813+Calculator!$B$30)</f>
        <v/>
      </c>
      <c r="H813" s="16">
        <f>IF(A813="","",Calculator!$B$40-G813)</f>
        <v/>
      </c>
      <c r="I813" s="17">
        <f>IF(A813="","",A813*Calculator!$B$5*Calculator!$B$8/3600)</f>
        <v/>
      </c>
      <c r="J813" s="12">
        <f>IF(A813="","",Calculator!$B$35-E813)</f>
        <v/>
      </c>
    </row>
    <row r="814">
      <c r="A814" s="15">
        <f>IF(812/1000&lt;=Calculator!$B$27+0.0000001,812/1000,"")</f>
        <v/>
      </c>
      <c r="B814" s="15">
        <f>IF(A814="","",A814/Calculator!$B$27)</f>
        <v/>
      </c>
      <c r="C814" s="15">
        <f>IF(A814="","",Calculator!$B$27-A814)</f>
        <v/>
      </c>
      <c r="D814" s="17">
        <f>IF(A814="","",(Calculator!$B$11+C814)*Calculator!$B$5)</f>
        <v/>
      </c>
      <c r="E814" s="12">
        <f>IF(A814="","",IF(Calculator!$B$17=1,ROUNDUP(D814*Calculator!$B$8/3600/Calculator!$B$24-0.000000001,0),D814*Calculator!$B$8/3600/Calculator!$B$24))</f>
        <v/>
      </c>
      <c r="F814" s="16">
        <f>IF(A814="","",IF(Calculator!$B$16=1,Calculator!$B$27,A814)*Calculator!$B$5*Calculator!$B$15)</f>
        <v/>
      </c>
      <c r="G814" s="16">
        <f>IF(A814="","",E814*Calculator!$B$6+Calculator!$C$37+F814+Calculator!$B$30)</f>
        <v/>
      </c>
      <c r="H814" s="16">
        <f>IF(A814="","",Calculator!$B$40-G814)</f>
        <v/>
      </c>
      <c r="I814" s="17">
        <f>IF(A814="","",A814*Calculator!$B$5*Calculator!$B$8/3600)</f>
        <v/>
      </c>
      <c r="J814" s="12">
        <f>IF(A814="","",Calculator!$B$35-E814)</f>
        <v/>
      </c>
    </row>
    <row r="815">
      <c r="A815" s="15">
        <f>IF(813/1000&lt;=Calculator!$B$27+0.0000001,813/1000,"")</f>
        <v/>
      </c>
      <c r="B815" s="15">
        <f>IF(A815="","",A815/Calculator!$B$27)</f>
        <v/>
      </c>
      <c r="C815" s="15">
        <f>IF(A815="","",Calculator!$B$27-A815)</f>
        <v/>
      </c>
      <c r="D815" s="17">
        <f>IF(A815="","",(Calculator!$B$11+C815)*Calculator!$B$5)</f>
        <v/>
      </c>
      <c r="E815" s="12">
        <f>IF(A815="","",IF(Calculator!$B$17=1,ROUNDUP(D815*Calculator!$B$8/3600/Calculator!$B$24-0.000000001,0),D815*Calculator!$B$8/3600/Calculator!$B$24))</f>
        <v/>
      </c>
      <c r="F815" s="16">
        <f>IF(A815="","",IF(Calculator!$B$16=1,Calculator!$B$27,A815)*Calculator!$B$5*Calculator!$B$15)</f>
        <v/>
      </c>
      <c r="G815" s="16">
        <f>IF(A815="","",E815*Calculator!$B$6+Calculator!$C$37+F815+Calculator!$B$30)</f>
        <v/>
      </c>
      <c r="H815" s="16">
        <f>IF(A815="","",Calculator!$B$40-G815)</f>
        <v/>
      </c>
      <c r="I815" s="17">
        <f>IF(A815="","",A815*Calculator!$B$5*Calculator!$B$8/3600)</f>
        <v/>
      </c>
      <c r="J815" s="12">
        <f>IF(A815="","",Calculator!$B$35-E815)</f>
        <v/>
      </c>
    </row>
    <row r="816">
      <c r="A816" s="15">
        <f>IF(814/1000&lt;=Calculator!$B$27+0.0000001,814/1000,"")</f>
        <v/>
      </c>
      <c r="B816" s="15">
        <f>IF(A816="","",A816/Calculator!$B$27)</f>
        <v/>
      </c>
      <c r="C816" s="15">
        <f>IF(A816="","",Calculator!$B$27-A816)</f>
        <v/>
      </c>
      <c r="D816" s="17">
        <f>IF(A816="","",(Calculator!$B$11+C816)*Calculator!$B$5)</f>
        <v/>
      </c>
      <c r="E816" s="12">
        <f>IF(A816="","",IF(Calculator!$B$17=1,ROUNDUP(D816*Calculator!$B$8/3600/Calculator!$B$24-0.000000001,0),D816*Calculator!$B$8/3600/Calculator!$B$24))</f>
        <v/>
      </c>
      <c r="F816" s="16">
        <f>IF(A816="","",IF(Calculator!$B$16=1,Calculator!$B$27,A816)*Calculator!$B$5*Calculator!$B$15)</f>
        <v/>
      </c>
      <c r="G816" s="16">
        <f>IF(A816="","",E816*Calculator!$B$6+Calculator!$C$37+F816+Calculator!$B$30)</f>
        <v/>
      </c>
      <c r="H816" s="16">
        <f>IF(A816="","",Calculator!$B$40-G816)</f>
        <v/>
      </c>
      <c r="I816" s="17">
        <f>IF(A816="","",A816*Calculator!$B$5*Calculator!$B$8/3600)</f>
        <v/>
      </c>
      <c r="J816" s="12">
        <f>IF(A816="","",Calculator!$B$35-E816)</f>
        <v/>
      </c>
    </row>
    <row r="817">
      <c r="A817" s="15">
        <f>IF(815/1000&lt;=Calculator!$B$27+0.0000001,815/1000,"")</f>
        <v/>
      </c>
      <c r="B817" s="15">
        <f>IF(A817="","",A817/Calculator!$B$27)</f>
        <v/>
      </c>
      <c r="C817" s="15">
        <f>IF(A817="","",Calculator!$B$27-A817)</f>
        <v/>
      </c>
      <c r="D817" s="17">
        <f>IF(A817="","",(Calculator!$B$11+C817)*Calculator!$B$5)</f>
        <v/>
      </c>
      <c r="E817" s="12">
        <f>IF(A817="","",IF(Calculator!$B$17=1,ROUNDUP(D817*Calculator!$B$8/3600/Calculator!$B$24-0.000000001,0),D817*Calculator!$B$8/3600/Calculator!$B$24))</f>
        <v/>
      </c>
      <c r="F817" s="16">
        <f>IF(A817="","",IF(Calculator!$B$16=1,Calculator!$B$27,A817)*Calculator!$B$5*Calculator!$B$15)</f>
        <v/>
      </c>
      <c r="G817" s="16">
        <f>IF(A817="","",E817*Calculator!$B$6+Calculator!$C$37+F817+Calculator!$B$30)</f>
        <v/>
      </c>
      <c r="H817" s="16">
        <f>IF(A817="","",Calculator!$B$40-G817)</f>
        <v/>
      </c>
      <c r="I817" s="17">
        <f>IF(A817="","",A817*Calculator!$B$5*Calculator!$B$8/3600)</f>
        <v/>
      </c>
      <c r="J817" s="12">
        <f>IF(A817="","",Calculator!$B$35-E817)</f>
        <v/>
      </c>
    </row>
    <row r="818">
      <c r="A818" s="15">
        <f>IF(816/1000&lt;=Calculator!$B$27+0.0000001,816/1000,"")</f>
        <v/>
      </c>
      <c r="B818" s="15">
        <f>IF(A818="","",A818/Calculator!$B$27)</f>
        <v/>
      </c>
      <c r="C818" s="15">
        <f>IF(A818="","",Calculator!$B$27-A818)</f>
        <v/>
      </c>
      <c r="D818" s="17">
        <f>IF(A818="","",(Calculator!$B$11+C818)*Calculator!$B$5)</f>
        <v/>
      </c>
      <c r="E818" s="12">
        <f>IF(A818="","",IF(Calculator!$B$17=1,ROUNDUP(D818*Calculator!$B$8/3600/Calculator!$B$24-0.000000001,0),D818*Calculator!$B$8/3600/Calculator!$B$24))</f>
        <v/>
      </c>
      <c r="F818" s="16">
        <f>IF(A818="","",IF(Calculator!$B$16=1,Calculator!$B$27,A818)*Calculator!$B$5*Calculator!$B$15)</f>
        <v/>
      </c>
      <c r="G818" s="16">
        <f>IF(A818="","",E818*Calculator!$B$6+Calculator!$C$37+F818+Calculator!$B$30)</f>
        <v/>
      </c>
      <c r="H818" s="16">
        <f>IF(A818="","",Calculator!$B$40-G818)</f>
        <v/>
      </c>
      <c r="I818" s="17">
        <f>IF(A818="","",A818*Calculator!$B$5*Calculator!$B$8/3600)</f>
        <v/>
      </c>
      <c r="J818" s="12">
        <f>IF(A818="","",Calculator!$B$35-E818)</f>
        <v/>
      </c>
    </row>
    <row r="819">
      <c r="A819" s="15">
        <f>IF(817/1000&lt;=Calculator!$B$27+0.0000001,817/1000,"")</f>
        <v/>
      </c>
      <c r="B819" s="15">
        <f>IF(A819="","",A819/Calculator!$B$27)</f>
        <v/>
      </c>
      <c r="C819" s="15">
        <f>IF(A819="","",Calculator!$B$27-A819)</f>
        <v/>
      </c>
      <c r="D819" s="17">
        <f>IF(A819="","",(Calculator!$B$11+C819)*Calculator!$B$5)</f>
        <v/>
      </c>
      <c r="E819" s="12">
        <f>IF(A819="","",IF(Calculator!$B$17=1,ROUNDUP(D819*Calculator!$B$8/3600/Calculator!$B$24-0.000000001,0),D819*Calculator!$B$8/3600/Calculator!$B$24))</f>
        <v/>
      </c>
      <c r="F819" s="16">
        <f>IF(A819="","",IF(Calculator!$B$16=1,Calculator!$B$27,A819)*Calculator!$B$5*Calculator!$B$15)</f>
        <v/>
      </c>
      <c r="G819" s="16">
        <f>IF(A819="","",E819*Calculator!$B$6+Calculator!$C$37+F819+Calculator!$B$30)</f>
        <v/>
      </c>
      <c r="H819" s="16">
        <f>IF(A819="","",Calculator!$B$40-G819)</f>
        <v/>
      </c>
      <c r="I819" s="17">
        <f>IF(A819="","",A819*Calculator!$B$5*Calculator!$B$8/3600)</f>
        <v/>
      </c>
      <c r="J819" s="12">
        <f>IF(A819="","",Calculator!$B$35-E819)</f>
        <v/>
      </c>
    </row>
    <row r="820">
      <c r="A820" s="15">
        <f>IF(818/1000&lt;=Calculator!$B$27+0.0000001,818/1000,"")</f>
        <v/>
      </c>
      <c r="B820" s="15">
        <f>IF(A820="","",A820/Calculator!$B$27)</f>
        <v/>
      </c>
      <c r="C820" s="15">
        <f>IF(A820="","",Calculator!$B$27-A820)</f>
        <v/>
      </c>
      <c r="D820" s="17">
        <f>IF(A820="","",(Calculator!$B$11+C820)*Calculator!$B$5)</f>
        <v/>
      </c>
      <c r="E820" s="12">
        <f>IF(A820="","",IF(Calculator!$B$17=1,ROUNDUP(D820*Calculator!$B$8/3600/Calculator!$B$24-0.000000001,0),D820*Calculator!$B$8/3600/Calculator!$B$24))</f>
        <v/>
      </c>
      <c r="F820" s="16">
        <f>IF(A820="","",IF(Calculator!$B$16=1,Calculator!$B$27,A820)*Calculator!$B$5*Calculator!$B$15)</f>
        <v/>
      </c>
      <c r="G820" s="16">
        <f>IF(A820="","",E820*Calculator!$B$6+Calculator!$C$37+F820+Calculator!$B$30)</f>
        <v/>
      </c>
      <c r="H820" s="16">
        <f>IF(A820="","",Calculator!$B$40-G820)</f>
        <v/>
      </c>
      <c r="I820" s="17">
        <f>IF(A820="","",A820*Calculator!$B$5*Calculator!$B$8/3600)</f>
        <v/>
      </c>
      <c r="J820" s="12">
        <f>IF(A820="","",Calculator!$B$35-E820)</f>
        <v/>
      </c>
    </row>
    <row r="821">
      <c r="A821" s="15">
        <f>IF(819/1000&lt;=Calculator!$B$27+0.0000001,819/1000,"")</f>
        <v/>
      </c>
      <c r="B821" s="15">
        <f>IF(A821="","",A821/Calculator!$B$27)</f>
        <v/>
      </c>
      <c r="C821" s="15">
        <f>IF(A821="","",Calculator!$B$27-A821)</f>
        <v/>
      </c>
      <c r="D821" s="17">
        <f>IF(A821="","",(Calculator!$B$11+C821)*Calculator!$B$5)</f>
        <v/>
      </c>
      <c r="E821" s="12">
        <f>IF(A821="","",IF(Calculator!$B$17=1,ROUNDUP(D821*Calculator!$B$8/3600/Calculator!$B$24-0.000000001,0),D821*Calculator!$B$8/3600/Calculator!$B$24))</f>
        <v/>
      </c>
      <c r="F821" s="16">
        <f>IF(A821="","",IF(Calculator!$B$16=1,Calculator!$B$27,A821)*Calculator!$B$5*Calculator!$B$15)</f>
        <v/>
      </c>
      <c r="G821" s="16">
        <f>IF(A821="","",E821*Calculator!$B$6+Calculator!$C$37+F821+Calculator!$B$30)</f>
        <v/>
      </c>
      <c r="H821" s="16">
        <f>IF(A821="","",Calculator!$B$40-G821)</f>
        <v/>
      </c>
      <c r="I821" s="17">
        <f>IF(A821="","",A821*Calculator!$B$5*Calculator!$B$8/3600)</f>
        <v/>
      </c>
      <c r="J821" s="12">
        <f>IF(A821="","",Calculator!$B$35-E821)</f>
        <v/>
      </c>
    </row>
    <row r="822">
      <c r="A822" s="15">
        <f>IF(820/1000&lt;=Calculator!$B$27+0.0000001,820/1000,"")</f>
        <v/>
      </c>
      <c r="B822" s="15">
        <f>IF(A822="","",A822/Calculator!$B$27)</f>
        <v/>
      </c>
      <c r="C822" s="15">
        <f>IF(A822="","",Calculator!$B$27-A822)</f>
        <v/>
      </c>
      <c r="D822" s="17">
        <f>IF(A822="","",(Calculator!$B$11+C822)*Calculator!$B$5)</f>
        <v/>
      </c>
      <c r="E822" s="12">
        <f>IF(A822="","",IF(Calculator!$B$17=1,ROUNDUP(D822*Calculator!$B$8/3600/Calculator!$B$24-0.000000001,0),D822*Calculator!$B$8/3600/Calculator!$B$24))</f>
        <v/>
      </c>
      <c r="F822" s="16">
        <f>IF(A822="","",IF(Calculator!$B$16=1,Calculator!$B$27,A822)*Calculator!$B$5*Calculator!$B$15)</f>
        <v/>
      </c>
      <c r="G822" s="16">
        <f>IF(A822="","",E822*Calculator!$B$6+Calculator!$C$37+F822+Calculator!$B$30)</f>
        <v/>
      </c>
      <c r="H822" s="16">
        <f>IF(A822="","",Calculator!$B$40-G822)</f>
        <v/>
      </c>
      <c r="I822" s="17">
        <f>IF(A822="","",A822*Calculator!$B$5*Calculator!$B$8/3600)</f>
        <v/>
      </c>
      <c r="J822" s="12">
        <f>IF(A822="","",Calculator!$B$35-E822)</f>
        <v/>
      </c>
    </row>
    <row r="823">
      <c r="A823" s="15">
        <f>IF(821/1000&lt;=Calculator!$B$27+0.0000001,821/1000,"")</f>
        <v/>
      </c>
      <c r="B823" s="15">
        <f>IF(A823="","",A823/Calculator!$B$27)</f>
        <v/>
      </c>
      <c r="C823" s="15">
        <f>IF(A823="","",Calculator!$B$27-A823)</f>
        <v/>
      </c>
      <c r="D823" s="17">
        <f>IF(A823="","",(Calculator!$B$11+C823)*Calculator!$B$5)</f>
        <v/>
      </c>
      <c r="E823" s="12">
        <f>IF(A823="","",IF(Calculator!$B$17=1,ROUNDUP(D823*Calculator!$B$8/3600/Calculator!$B$24-0.000000001,0),D823*Calculator!$B$8/3600/Calculator!$B$24))</f>
        <v/>
      </c>
      <c r="F823" s="16">
        <f>IF(A823="","",IF(Calculator!$B$16=1,Calculator!$B$27,A823)*Calculator!$B$5*Calculator!$B$15)</f>
        <v/>
      </c>
      <c r="G823" s="16">
        <f>IF(A823="","",E823*Calculator!$B$6+Calculator!$C$37+F823+Calculator!$B$30)</f>
        <v/>
      </c>
      <c r="H823" s="16">
        <f>IF(A823="","",Calculator!$B$40-G823)</f>
        <v/>
      </c>
      <c r="I823" s="17">
        <f>IF(A823="","",A823*Calculator!$B$5*Calculator!$B$8/3600)</f>
        <v/>
      </c>
      <c r="J823" s="12">
        <f>IF(A823="","",Calculator!$B$35-E823)</f>
        <v/>
      </c>
    </row>
    <row r="824">
      <c r="A824" s="15">
        <f>IF(822/1000&lt;=Calculator!$B$27+0.0000001,822/1000,"")</f>
        <v/>
      </c>
      <c r="B824" s="15">
        <f>IF(A824="","",A824/Calculator!$B$27)</f>
        <v/>
      </c>
      <c r="C824" s="15">
        <f>IF(A824="","",Calculator!$B$27-A824)</f>
        <v/>
      </c>
      <c r="D824" s="17">
        <f>IF(A824="","",(Calculator!$B$11+C824)*Calculator!$B$5)</f>
        <v/>
      </c>
      <c r="E824" s="12">
        <f>IF(A824="","",IF(Calculator!$B$17=1,ROUNDUP(D824*Calculator!$B$8/3600/Calculator!$B$24-0.000000001,0),D824*Calculator!$B$8/3600/Calculator!$B$24))</f>
        <v/>
      </c>
      <c r="F824" s="16">
        <f>IF(A824="","",IF(Calculator!$B$16=1,Calculator!$B$27,A824)*Calculator!$B$5*Calculator!$B$15)</f>
        <v/>
      </c>
      <c r="G824" s="16">
        <f>IF(A824="","",E824*Calculator!$B$6+Calculator!$C$37+F824+Calculator!$B$30)</f>
        <v/>
      </c>
      <c r="H824" s="16">
        <f>IF(A824="","",Calculator!$B$40-G824)</f>
        <v/>
      </c>
      <c r="I824" s="17">
        <f>IF(A824="","",A824*Calculator!$B$5*Calculator!$B$8/3600)</f>
        <v/>
      </c>
      <c r="J824" s="12">
        <f>IF(A824="","",Calculator!$B$35-E824)</f>
        <v/>
      </c>
    </row>
    <row r="825">
      <c r="A825" s="15">
        <f>IF(823/1000&lt;=Calculator!$B$27+0.0000001,823/1000,"")</f>
        <v/>
      </c>
      <c r="B825" s="15">
        <f>IF(A825="","",A825/Calculator!$B$27)</f>
        <v/>
      </c>
      <c r="C825" s="15">
        <f>IF(A825="","",Calculator!$B$27-A825)</f>
        <v/>
      </c>
      <c r="D825" s="17">
        <f>IF(A825="","",(Calculator!$B$11+C825)*Calculator!$B$5)</f>
        <v/>
      </c>
      <c r="E825" s="12">
        <f>IF(A825="","",IF(Calculator!$B$17=1,ROUNDUP(D825*Calculator!$B$8/3600/Calculator!$B$24-0.000000001,0),D825*Calculator!$B$8/3600/Calculator!$B$24))</f>
        <v/>
      </c>
      <c r="F825" s="16">
        <f>IF(A825="","",IF(Calculator!$B$16=1,Calculator!$B$27,A825)*Calculator!$B$5*Calculator!$B$15)</f>
        <v/>
      </c>
      <c r="G825" s="16">
        <f>IF(A825="","",E825*Calculator!$B$6+Calculator!$C$37+F825+Calculator!$B$30)</f>
        <v/>
      </c>
      <c r="H825" s="16">
        <f>IF(A825="","",Calculator!$B$40-G825)</f>
        <v/>
      </c>
      <c r="I825" s="17">
        <f>IF(A825="","",A825*Calculator!$B$5*Calculator!$B$8/3600)</f>
        <v/>
      </c>
      <c r="J825" s="12">
        <f>IF(A825="","",Calculator!$B$35-E825)</f>
        <v/>
      </c>
    </row>
    <row r="826">
      <c r="A826" s="15">
        <f>IF(824/1000&lt;=Calculator!$B$27+0.0000001,824/1000,"")</f>
        <v/>
      </c>
      <c r="B826" s="15">
        <f>IF(A826="","",A826/Calculator!$B$27)</f>
        <v/>
      </c>
      <c r="C826" s="15">
        <f>IF(A826="","",Calculator!$B$27-A826)</f>
        <v/>
      </c>
      <c r="D826" s="17">
        <f>IF(A826="","",(Calculator!$B$11+C826)*Calculator!$B$5)</f>
        <v/>
      </c>
      <c r="E826" s="12">
        <f>IF(A826="","",IF(Calculator!$B$17=1,ROUNDUP(D826*Calculator!$B$8/3600/Calculator!$B$24-0.000000001,0),D826*Calculator!$B$8/3600/Calculator!$B$24))</f>
        <v/>
      </c>
      <c r="F826" s="16">
        <f>IF(A826="","",IF(Calculator!$B$16=1,Calculator!$B$27,A826)*Calculator!$B$5*Calculator!$B$15)</f>
        <v/>
      </c>
      <c r="G826" s="16">
        <f>IF(A826="","",E826*Calculator!$B$6+Calculator!$C$37+F826+Calculator!$B$30)</f>
        <v/>
      </c>
      <c r="H826" s="16">
        <f>IF(A826="","",Calculator!$B$40-G826)</f>
        <v/>
      </c>
      <c r="I826" s="17">
        <f>IF(A826="","",A826*Calculator!$B$5*Calculator!$B$8/3600)</f>
        <v/>
      </c>
      <c r="J826" s="12">
        <f>IF(A826="","",Calculator!$B$35-E826)</f>
        <v/>
      </c>
    </row>
    <row r="827">
      <c r="A827" s="15">
        <f>IF(825/1000&lt;=Calculator!$B$27+0.0000001,825/1000,"")</f>
        <v/>
      </c>
      <c r="B827" s="15">
        <f>IF(A827="","",A827/Calculator!$B$27)</f>
        <v/>
      </c>
      <c r="C827" s="15">
        <f>IF(A827="","",Calculator!$B$27-A827)</f>
        <v/>
      </c>
      <c r="D827" s="17">
        <f>IF(A827="","",(Calculator!$B$11+C827)*Calculator!$B$5)</f>
        <v/>
      </c>
      <c r="E827" s="12">
        <f>IF(A827="","",IF(Calculator!$B$17=1,ROUNDUP(D827*Calculator!$B$8/3600/Calculator!$B$24-0.000000001,0),D827*Calculator!$B$8/3600/Calculator!$B$24))</f>
        <v/>
      </c>
      <c r="F827" s="16">
        <f>IF(A827="","",IF(Calculator!$B$16=1,Calculator!$B$27,A827)*Calculator!$B$5*Calculator!$B$15)</f>
        <v/>
      </c>
      <c r="G827" s="16">
        <f>IF(A827="","",E827*Calculator!$B$6+Calculator!$C$37+F827+Calculator!$B$30)</f>
        <v/>
      </c>
      <c r="H827" s="16">
        <f>IF(A827="","",Calculator!$B$40-G827)</f>
        <v/>
      </c>
      <c r="I827" s="17">
        <f>IF(A827="","",A827*Calculator!$B$5*Calculator!$B$8/3600)</f>
        <v/>
      </c>
      <c r="J827" s="12">
        <f>IF(A827="","",Calculator!$B$35-E827)</f>
        <v/>
      </c>
    </row>
    <row r="828">
      <c r="A828" s="15">
        <f>IF(826/1000&lt;=Calculator!$B$27+0.0000001,826/1000,"")</f>
        <v/>
      </c>
      <c r="B828" s="15">
        <f>IF(A828="","",A828/Calculator!$B$27)</f>
        <v/>
      </c>
      <c r="C828" s="15">
        <f>IF(A828="","",Calculator!$B$27-A828)</f>
        <v/>
      </c>
      <c r="D828" s="17">
        <f>IF(A828="","",(Calculator!$B$11+C828)*Calculator!$B$5)</f>
        <v/>
      </c>
      <c r="E828" s="12">
        <f>IF(A828="","",IF(Calculator!$B$17=1,ROUNDUP(D828*Calculator!$B$8/3600/Calculator!$B$24-0.000000001,0),D828*Calculator!$B$8/3600/Calculator!$B$24))</f>
        <v/>
      </c>
      <c r="F828" s="16">
        <f>IF(A828="","",IF(Calculator!$B$16=1,Calculator!$B$27,A828)*Calculator!$B$5*Calculator!$B$15)</f>
        <v/>
      </c>
      <c r="G828" s="16">
        <f>IF(A828="","",E828*Calculator!$B$6+Calculator!$C$37+F828+Calculator!$B$30)</f>
        <v/>
      </c>
      <c r="H828" s="16">
        <f>IF(A828="","",Calculator!$B$40-G828)</f>
        <v/>
      </c>
      <c r="I828" s="17">
        <f>IF(A828="","",A828*Calculator!$B$5*Calculator!$B$8/3600)</f>
        <v/>
      </c>
      <c r="J828" s="12">
        <f>IF(A828="","",Calculator!$B$35-E828)</f>
        <v/>
      </c>
    </row>
    <row r="829">
      <c r="A829" s="15">
        <f>IF(827/1000&lt;=Calculator!$B$27+0.0000001,827/1000,"")</f>
        <v/>
      </c>
      <c r="B829" s="15">
        <f>IF(A829="","",A829/Calculator!$B$27)</f>
        <v/>
      </c>
      <c r="C829" s="15">
        <f>IF(A829="","",Calculator!$B$27-A829)</f>
        <v/>
      </c>
      <c r="D829" s="17">
        <f>IF(A829="","",(Calculator!$B$11+C829)*Calculator!$B$5)</f>
        <v/>
      </c>
      <c r="E829" s="12">
        <f>IF(A829="","",IF(Calculator!$B$17=1,ROUNDUP(D829*Calculator!$B$8/3600/Calculator!$B$24-0.000000001,0),D829*Calculator!$B$8/3600/Calculator!$B$24))</f>
        <v/>
      </c>
      <c r="F829" s="16">
        <f>IF(A829="","",IF(Calculator!$B$16=1,Calculator!$B$27,A829)*Calculator!$B$5*Calculator!$B$15)</f>
        <v/>
      </c>
      <c r="G829" s="16">
        <f>IF(A829="","",E829*Calculator!$B$6+Calculator!$C$37+F829+Calculator!$B$30)</f>
        <v/>
      </c>
      <c r="H829" s="16">
        <f>IF(A829="","",Calculator!$B$40-G829)</f>
        <v/>
      </c>
      <c r="I829" s="17">
        <f>IF(A829="","",A829*Calculator!$B$5*Calculator!$B$8/3600)</f>
        <v/>
      </c>
      <c r="J829" s="12">
        <f>IF(A829="","",Calculator!$B$35-E829)</f>
        <v/>
      </c>
    </row>
    <row r="830">
      <c r="A830" s="15">
        <f>IF(828/1000&lt;=Calculator!$B$27+0.0000001,828/1000,"")</f>
        <v/>
      </c>
      <c r="B830" s="15">
        <f>IF(A830="","",A830/Calculator!$B$27)</f>
        <v/>
      </c>
      <c r="C830" s="15">
        <f>IF(A830="","",Calculator!$B$27-A830)</f>
        <v/>
      </c>
      <c r="D830" s="17">
        <f>IF(A830="","",(Calculator!$B$11+C830)*Calculator!$B$5)</f>
        <v/>
      </c>
      <c r="E830" s="12">
        <f>IF(A830="","",IF(Calculator!$B$17=1,ROUNDUP(D830*Calculator!$B$8/3600/Calculator!$B$24-0.000000001,0),D830*Calculator!$B$8/3600/Calculator!$B$24))</f>
        <v/>
      </c>
      <c r="F830" s="16">
        <f>IF(A830="","",IF(Calculator!$B$16=1,Calculator!$B$27,A830)*Calculator!$B$5*Calculator!$B$15)</f>
        <v/>
      </c>
      <c r="G830" s="16">
        <f>IF(A830="","",E830*Calculator!$B$6+Calculator!$C$37+F830+Calculator!$B$30)</f>
        <v/>
      </c>
      <c r="H830" s="16">
        <f>IF(A830="","",Calculator!$B$40-G830)</f>
        <v/>
      </c>
      <c r="I830" s="17">
        <f>IF(A830="","",A830*Calculator!$B$5*Calculator!$B$8/3600)</f>
        <v/>
      </c>
      <c r="J830" s="12">
        <f>IF(A830="","",Calculator!$B$35-E830)</f>
        <v/>
      </c>
    </row>
    <row r="831">
      <c r="A831" s="15">
        <f>IF(829/1000&lt;=Calculator!$B$27+0.0000001,829/1000,"")</f>
        <v/>
      </c>
      <c r="B831" s="15">
        <f>IF(A831="","",A831/Calculator!$B$27)</f>
        <v/>
      </c>
      <c r="C831" s="15">
        <f>IF(A831="","",Calculator!$B$27-A831)</f>
        <v/>
      </c>
      <c r="D831" s="17">
        <f>IF(A831="","",(Calculator!$B$11+C831)*Calculator!$B$5)</f>
        <v/>
      </c>
      <c r="E831" s="12">
        <f>IF(A831="","",IF(Calculator!$B$17=1,ROUNDUP(D831*Calculator!$B$8/3600/Calculator!$B$24-0.000000001,0),D831*Calculator!$B$8/3600/Calculator!$B$24))</f>
        <v/>
      </c>
      <c r="F831" s="16">
        <f>IF(A831="","",IF(Calculator!$B$16=1,Calculator!$B$27,A831)*Calculator!$B$5*Calculator!$B$15)</f>
        <v/>
      </c>
      <c r="G831" s="16">
        <f>IF(A831="","",E831*Calculator!$B$6+Calculator!$C$37+F831+Calculator!$B$30)</f>
        <v/>
      </c>
      <c r="H831" s="16">
        <f>IF(A831="","",Calculator!$B$40-G831)</f>
        <v/>
      </c>
      <c r="I831" s="17">
        <f>IF(A831="","",A831*Calculator!$B$5*Calculator!$B$8/3600)</f>
        <v/>
      </c>
      <c r="J831" s="12">
        <f>IF(A831="","",Calculator!$B$35-E831)</f>
        <v/>
      </c>
    </row>
    <row r="832">
      <c r="A832" s="15">
        <f>IF(830/1000&lt;=Calculator!$B$27+0.0000001,830/1000,"")</f>
        <v/>
      </c>
      <c r="B832" s="15">
        <f>IF(A832="","",A832/Calculator!$B$27)</f>
        <v/>
      </c>
      <c r="C832" s="15">
        <f>IF(A832="","",Calculator!$B$27-A832)</f>
        <v/>
      </c>
      <c r="D832" s="17">
        <f>IF(A832="","",(Calculator!$B$11+C832)*Calculator!$B$5)</f>
        <v/>
      </c>
      <c r="E832" s="12">
        <f>IF(A832="","",IF(Calculator!$B$17=1,ROUNDUP(D832*Calculator!$B$8/3600/Calculator!$B$24-0.000000001,0),D832*Calculator!$B$8/3600/Calculator!$B$24))</f>
        <v/>
      </c>
      <c r="F832" s="16">
        <f>IF(A832="","",IF(Calculator!$B$16=1,Calculator!$B$27,A832)*Calculator!$B$5*Calculator!$B$15)</f>
        <v/>
      </c>
      <c r="G832" s="16">
        <f>IF(A832="","",E832*Calculator!$B$6+Calculator!$C$37+F832+Calculator!$B$30)</f>
        <v/>
      </c>
      <c r="H832" s="16">
        <f>IF(A832="","",Calculator!$B$40-G832)</f>
        <v/>
      </c>
      <c r="I832" s="17">
        <f>IF(A832="","",A832*Calculator!$B$5*Calculator!$B$8/3600)</f>
        <v/>
      </c>
      <c r="J832" s="12">
        <f>IF(A832="","",Calculator!$B$35-E832)</f>
        <v/>
      </c>
    </row>
    <row r="833">
      <c r="A833" s="15">
        <f>IF(831/1000&lt;=Calculator!$B$27+0.0000001,831/1000,"")</f>
        <v/>
      </c>
      <c r="B833" s="15">
        <f>IF(A833="","",A833/Calculator!$B$27)</f>
        <v/>
      </c>
      <c r="C833" s="15">
        <f>IF(A833="","",Calculator!$B$27-A833)</f>
        <v/>
      </c>
      <c r="D833" s="17">
        <f>IF(A833="","",(Calculator!$B$11+C833)*Calculator!$B$5)</f>
        <v/>
      </c>
      <c r="E833" s="12">
        <f>IF(A833="","",IF(Calculator!$B$17=1,ROUNDUP(D833*Calculator!$B$8/3600/Calculator!$B$24-0.000000001,0),D833*Calculator!$B$8/3600/Calculator!$B$24))</f>
        <v/>
      </c>
      <c r="F833" s="16">
        <f>IF(A833="","",IF(Calculator!$B$16=1,Calculator!$B$27,A833)*Calculator!$B$5*Calculator!$B$15)</f>
        <v/>
      </c>
      <c r="G833" s="16">
        <f>IF(A833="","",E833*Calculator!$B$6+Calculator!$C$37+F833+Calculator!$B$30)</f>
        <v/>
      </c>
      <c r="H833" s="16">
        <f>IF(A833="","",Calculator!$B$40-G833)</f>
        <v/>
      </c>
      <c r="I833" s="17">
        <f>IF(A833="","",A833*Calculator!$B$5*Calculator!$B$8/3600)</f>
        <v/>
      </c>
      <c r="J833" s="12">
        <f>IF(A833="","",Calculator!$B$35-E833)</f>
        <v/>
      </c>
    </row>
    <row r="834">
      <c r="A834" s="15">
        <f>IF(832/1000&lt;=Calculator!$B$27+0.0000001,832/1000,"")</f>
        <v/>
      </c>
      <c r="B834" s="15">
        <f>IF(A834="","",A834/Calculator!$B$27)</f>
        <v/>
      </c>
      <c r="C834" s="15">
        <f>IF(A834="","",Calculator!$B$27-A834)</f>
        <v/>
      </c>
      <c r="D834" s="17">
        <f>IF(A834="","",(Calculator!$B$11+C834)*Calculator!$B$5)</f>
        <v/>
      </c>
      <c r="E834" s="12">
        <f>IF(A834="","",IF(Calculator!$B$17=1,ROUNDUP(D834*Calculator!$B$8/3600/Calculator!$B$24-0.000000001,0),D834*Calculator!$B$8/3600/Calculator!$B$24))</f>
        <v/>
      </c>
      <c r="F834" s="16">
        <f>IF(A834="","",IF(Calculator!$B$16=1,Calculator!$B$27,A834)*Calculator!$B$5*Calculator!$B$15)</f>
        <v/>
      </c>
      <c r="G834" s="16">
        <f>IF(A834="","",E834*Calculator!$B$6+Calculator!$C$37+F834+Calculator!$B$30)</f>
        <v/>
      </c>
      <c r="H834" s="16">
        <f>IF(A834="","",Calculator!$B$40-G834)</f>
        <v/>
      </c>
      <c r="I834" s="17">
        <f>IF(A834="","",A834*Calculator!$B$5*Calculator!$B$8/3600)</f>
        <v/>
      </c>
      <c r="J834" s="12">
        <f>IF(A834="","",Calculator!$B$35-E834)</f>
        <v/>
      </c>
    </row>
    <row r="835">
      <c r="A835" s="15">
        <f>IF(833/1000&lt;=Calculator!$B$27+0.0000001,833/1000,"")</f>
        <v/>
      </c>
      <c r="B835" s="15">
        <f>IF(A835="","",A835/Calculator!$B$27)</f>
        <v/>
      </c>
      <c r="C835" s="15">
        <f>IF(A835="","",Calculator!$B$27-A835)</f>
        <v/>
      </c>
      <c r="D835" s="17">
        <f>IF(A835="","",(Calculator!$B$11+C835)*Calculator!$B$5)</f>
        <v/>
      </c>
      <c r="E835" s="12">
        <f>IF(A835="","",IF(Calculator!$B$17=1,ROUNDUP(D835*Calculator!$B$8/3600/Calculator!$B$24-0.000000001,0),D835*Calculator!$B$8/3600/Calculator!$B$24))</f>
        <v/>
      </c>
      <c r="F835" s="16">
        <f>IF(A835="","",IF(Calculator!$B$16=1,Calculator!$B$27,A835)*Calculator!$B$5*Calculator!$B$15)</f>
        <v/>
      </c>
      <c r="G835" s="16">
        <f>IF(A835="","",E835*Calculator!$B$6+Calculator!$C$37+F835+Calculator!$B$30)</f>
        <v/>
      </c>
      <c r="H835" s="16">
        <f>IF(A835="","",Calculator!$B$40-G835)</f>
        <v/>
      </c>
      <c r="I835" s="17">
        <f>IF(A835="","",A835*Calculator!$B$5*Calculator!$B$8/3600)</f>
        <v/>
      </c>
      <c r="J835" s="12">
        <f>IF(A835="","",Calculator!$B$35-E835)</f>
        <v/>
      </c>
    </row>
    <row r="836">
      <c r="A836" s="15">
        <f>IF(834/1000&lt;=Calculator!$B$27+0.0000001,834/1000,"")</f>
        <v/>
      </c>
      <c r="B836" s="15">
        <f>IF(A836="","",A836/Calculator!$B$27)</f>
        <v/>
      </c>
      <c r="C836" s="15">
        <f>IF(A836="","",Calculator!$B$27-A836)</f>
        <v/>
      </c>
      <c r="D836" s="17">
        <f>IF(A836="","",(Calculator!$B$11+C836)*Calculator!$B$5)</f>
        <v/>
      </c>
      <c r="E836" s="12">
        <f>IF(A836="","",IF(Calculator!$B$17=1,ROUNDUP(D836*Calculator!$B$8/3600/Calculator!$B$24-0.000000001,0),D836*Calculator!$B$8/3600/Calculator!$B$24))</f>
        <v/>
      </c>
      <c r="F836" s="16">
        <f>IF(A836="","",IF(Calculator!$B$16=1,Calculator!$B$27,A836)*Calculator!$B$5*Calculator!$B$15)</f>
        <v/>
      </c>
      <c r="G836" s="16">
        <f>IF(A836="","",E836*Calculator!$B$6+Calculator!$C$37+F836+Calculator!$B$30)</f>
        <v/>
      </c>
      <c r="H836" s="16">
        <f>IF(A836="","",Calculator!$B$40-G836)</f>
        <v/>
      </c>
      <c r="I836" s="17">
        <f>IF(A836="","",A836*Calculator!$B$5*Calculator!$B$8/3600)</f>
        <v/>
      </c>
      <c r="J836" s="12">
        <f>IF(A836="","",Calculator!$B$35-E836)</f>
        <v/>
      </c>
    </row>
    <row r="837">
      <c r="A837" s="15">
        <f>IF(835/1000&lt;=Calculator!$B$27+0.0000001,835/1000,"")</f>
        <v/>
      </c>
      <c r="B837" s="15">
        <f>IF(A837="","",A837/Calculator!$B$27)</f>
        <v/>
      </c>
      <c r="C837" s="15">
        <f>IF(A837="","",Calculator!$B$27-A837)</f>
        <v/>
      </c>
      <c r="D837" s="17">
        <f>IF(A837="","",(Calculator!$B$11+C837)*Calculator!$B$5)</f>
        <v/>
      </c>
      <c r="E837" s="12">
        <f>IF(A837="","",IF(Calculator!$B$17=1,ROUNDUP(D837*Calculator!$B$8/3600/Calculator!$B$24-0.000000001,0),D837*Calculator!$B$8/3600/Calculator!$B$24))</f>
        <v/>
      </c>
      <c r="F837" s="16">
        <f>IF(A837="","",IF(Calculator!$B$16=1,Calculator!$B$27,A837)*Calculator!$B$5*Calculator!$B$15)</f>
        <v/>
      </c>
      <c r="G837" s="16">
        <f>IF(A837="","",E837*Calculator!$B$6+Calculator!$C$37+F837+Calculator!$B$30)</f>
        <v/>
      </c>
      <c r="H837" s="16">
        <f>IF(A837="","",Calculator!$B$40-G837)</f>
        <v/>
      </c>
      <c r="I837" s="17">
        <f>IF(A837="","",A837*Calculator!$B$5*Calculator!$B$8/3600)</f>
        <v/>
      </c>
      <c r="J837" s="12">
        <f>IF(A837="","",Calculator!$B$35-E837)</f>
        <v/>
      </c>
    </row>
    <row r="838">
      <c r="A838" s="15">
        <f>IF(836/1000&lt;=Calculator!$B$27+0.0000001,836/1000,"")</f>
        <v/>
      </c>
      <c r="B838" s="15">
        <f>IF(A838="","",A838/Calculator!$B$27)</f>
        <v/>
      </c>
      <c r="C838" s="15">
        <f>IF(A838="","",Calculator!$B$27-A838)</f>
        <v/>
      </c>
      <c r="D838" s="17">
        <f>IF(A838="","",(Calculator!$B$11+C838)*Calculator!$B$5)</f>
        <v/>
      </c>
      <c r="E838" s="12">
        <f>IF(A838="","",IF(Calculator!$B$17=1,ROUNDUP(D838*Calculator!$B$8/3600/Calculator!$B$24-0.000000001,0),D838*Calculator!$B$8/3600/Calculator!$B$24))</f>
        <v/>
      </c>
      <c r="F838" s="16">
        <f>IF(A838="","",IF(Calculator!$B$16=1,Calculator!$B$27,A838)*Calculator!$B$5*Calculator!$B$15)</f>
        <v/>
      </c>
      <c r="G838" s="16">
        <f>IF(A838="","",E838*Calculator!$B$6+Calculator!$C$37+F838+Calculator!$B$30)</f>
        <v/>
      </c>
      <c r="H838" s="16">
        <f>IF(A838="","",Calculator!$B$40-G838)</f>
        <v/>
      </c>
      <c r="I838" s="17">
        <f>IF(A838="","",A838*Calculator!$B$5*Calculator!$B$8/3600)</f>
        <v/>
      </c>
      <c r="J838" s="12">
        <f>IF(A838="","",Calculator!$B$35-E838)</f>
        <v/>
      </c>
    </row>
    <row r="839">
      <c r="A839" s="15">
        <f>IF(837/1000&lt;=Calculator!$B$27+0.0000001,837/1000,"")</f>
        <v/>
      </c>
      <c r="B839" s="15">
        <f>IF(A839="","",A839/Calculator!$B$27)</f>
        <v/>
      </c>
      <c r="C839" s="15">
        <f>IF(A839="","",Calculator!$B$27-A839)</f>
        <v/>
      </c>
      <c r="D839" s="17">
        <f>IF(A839="","",(Calculator!$B$11+C839)*Calculator!$B$5)</f>
        <v/>
      </c>
      <c r="E839" s="12">
        <f>IF(A839="","",IF(Calculator!$B$17=1,ROUNDUP(D839*Calculator!$B$8/3600/Calculator!$B$24-0.000000001,0),D839*Calculator!$B$8/3600/Calculator!$B$24))</f>
        <v/>
      </c>
      <c r="F839" s="16">
        <f>IF(A839="","",IF(Calculator!$B$16=1,Calculator!$B$27,A839)*Calculator!$B$5*Calculator!$B$15)</f>
        <v/>
      </c>
      <c r="G839" s="16">
        <f>IF(A839="","",E839*Calculator!$B$6+Calculator!$C$37+F839+Calculator!$B$30)</f>
        <v/>
      </c>
      <c r="H839" s="16">
        <f>IF(A839="","",Calculator!$B$40-G839)</f>
        <v/>
      </c>
      <c r="I839" s="17">
        <f>IF(A839="","",A839*Calculator!$B$5*Calculator!$B$8/3600)</f>
        <v/>
      </c>
      <c r="J839" s="12">
        <f>IF(A839="","",Calculator!$B$35-E839)</f>
        <v/>
      </c>
    </row>
    <row r="840">
      <c r="A840" s="15">
        <f>IF(838/1000&lt;=Calculator!$B$27+0.0000001,838/1000,"")</f>
        <v/>
      </c>
      <c r="B840" s="15">
        <f>IF(A840="","",A840/Calculator!$B$27)</f>
        <v/>
      </c>
      <c r="C840" s="15">
        <f>IF(A840="","",Calculator!$B$27-A840)</f>
        <v/>
      </c>
      <c r="D840" s="17">
        <f>IF(A840="","",(Calculator!$B$11+C840)*Calculator!$B$5)</f>
        <v/>
      </c>
      <c r="E840" s="12">
        <f>IF(A840="","",IF(Calculator!$B$17=1,ROUNDUP(D840*Calculator!$B$8/3600/Calculator!$B$24-0.000000001,0),D840*Calculator!$B$8/3600/Calculator!$B$24))</f>
        <v/>
      </c>
      <c r="F840" s="16">
        <f>IF(A840="","",IF(Calculator!$B$16=1,Calculator!$B$27,A840)*Calculator!$B$5*Calculator!$B$15)</f>
        <v/>
      </c>
      <c r="G840" s="16">
        <f>IF(A840="","",E840*Calculator!$B$6+Calculator!$C$37+F840+Calculator!$B$30)</f>
        <v/>
      </c>
      <c r="H840" s="16">
        <f>IF(A840="","",Calculator!$B$40-G840)</f>
        <v/>
      </c>
      <c r="I840" s="17">
        <f>IF(A840="","",A840*Calculator!$B$5*Calculator!$B$8/3600)</f>
        <v/>
      </c>
      <c r="J840" s="12">
        <f>IF(A840="","",Calculator!$B$35-E840)</f>
        <v/>
      </c>
    </row>
    <row r="841">
      <c r="A841" s="15">
        <f>IF(839/1000&lt;=Calculator!$B$27+0.0000001,839/1000,"")</f>
        <v/>
      </c>
      <c r="B841" s="15">
        <f>IF(A841="","",A841/Calculator!$B$27)</f>
        <v/>
      </c>
      <c r="C841" s="15">
        <f>IF(A841="","",Calculator!$B$27-A841)</f>
        <v/>
      </c>
      <c r="D841" s="17">
        <f>IF(A841="","",(Calculator!$B$11+C841)*Calculator!$B$5)</f>
        <v/>
      </c>
      <c r="E841" s="12">
        <f>IF(A841="","",IF(Calculator!$B$17=1,ROUNDUP(D841*Calculator!$B$8/3600/Calculator!$B$24-0.000000001,0),D841*Calculator!$B$8/3600/Calculator!$B$24))</f>
        <v/>
      </c>
      <c r="F841" s="16">
        <f>IF(A841="","",IF(Calculator!$B$16=1,Calculator!$B$27,A841)*Calculator!$B$5*Calculator!$B$15)</f>
        <v/>
      </c>
      <c r="G841" s="16">
        <f>IF(A841="","",E841*Calculator!$B$6+Calculator!$C$37+F841+Calculator!$B$30)</f>
        <v/>
      </c>
      <c r="H841" s="16">
        <f>IF(A841="","",Calculator!$B$40-G841)</f>
        <v/>
      </c>
      <c r="I841" s="17">
        <f>IF(A841="","",A841*Calculator!$B$5*Calculator!$B$8/3600)</f>
        <v/>
      </c>
      <c r="J841" s="12">
        <f>IF(A841="","",Calculator!$B$35-E841)</f>
        <v/>
      </c>
    </row>
    <row r="842">
      <c r="A842" s="15">
        <f>IF(840/1000&lt;=Calculator!$B$27+0.0000001,840/1000,"")</f>
        <v/>
      </c>
      <c r="B842" s="15">
        <f>IF(A842="","",A842/Calculator!$B$27)</f>
        <v/>
      </c>
      <c r="C842" s="15">
        <f>IF(A842="","",Calculator!$B$27-A842)</f>
        <v/>
      </c>
      <c r="D842" s="17">
        <f>IF(A842="","",(Calculator!$B$11+C842)*Calculator!$B$5)</f>
        <v/>
      </c>
      <c r="E842" s="12">
        <f>IF(A842="","",IF(Calculator!$B$17=1,ROUNDUP(D842*Calculator!$B$8/3600/Calculator!$B$24-0.000000001,0),D842*Calculator!$B$8/3600/Calculator!$B$24))</f>
        <v/>
      </c>
      <c r="F842" s="16">
        <f>IF(A842="","",IF(Calculator!$B$16=1,Calculator!$B$27,A842)*Calculator!$B$5*Calculator!$B$15)</f>
        <v/>
      </c>
      <c r="G842" s="16">
        <f>IF(A842="","",E842*Calculator!$B$6+Calculator!$C$37+F842+Calculator!$B$30)</f>
        <v/>
      </c>
      <c r="H842" s="16">
        <f>IF(A842="","",Calculator!$B$40-G842)</f>
        <v/>
      </c>
      <c r="I842" s="17">
        <f>IF(A842="","",A842*Calculator!$B$5*Calculator!$B$8/3600)</f>
        <v/>
      </c>
      <c r="J842" s="12">
        <f>IF(A842="","",Calculator!$B$35-E842)</f>
        <v/>
      </c>
    </row>
    <row r="843">
      <c r="A843" s="15">
        <f>IF(841/1000&lt;=Calculator!$B$27+0.0000001,841/1000,"")</f>
        <v/>
      </c>
      <c r="B843" s="15">
        <f>IF(A843="","",A843/Calculator!$B$27)</f>
        <v/>
      </c>
      <c r="C843" s="15">
        <f>IF(A843="","",Calculator!$B$27-A843)</f>
        <v/>
      </c>
      <c r="D843" s="17">
        <f>IF(A843="","",(Calculator!$B$11+C843)*Calculator!$B$5)</f>
        <v/>
      </c>
      <c r="E843" s="12">
        <f>IF(A843="","",IF(Calculator!$B$17=1,ROUNDUP(D843*Calculator!$B$8/3600/Calculator!$B$24-0.000000001,0),D843*Calculator!$B$8/3600/Calculator!$B$24))</f>
        <v/>
      </c>
      <c r="F843" s="16">
        <f>IF(A843="","",IF(Calculator!$B$16=1,Calculator!$B$27,A843)*Calculator!$B$5*Calculator!$B$15)</f>
        <v/>
      </c>
      <c r="G843" s="16">
        <f>IF(A843="","",E843*Calculator!$B$6+Calculator!$C$37+F843+Calculator!$B$30)</f>
        <v/>
      </c>
      <c r="H843" s="16">
        <f>IF(A843="","",Calculator!$B$40-G843)</f>
        <v/>
      </c>
      <c r="I843" s="17">
        <f>IF(A843="","",A843*Calculator!$B$5*Calculator!$B$8/3600)</f>
        <v/>
      </c>
      <c r="J843" s="12">
        <f>IF(A843="","",Calculator!$B$35-E843)</f>
        <v/>
      </c>
    </row>
    <row r="844">
      <c r="A844" s="15">
        <f>IF(842/1000&lt;=Calculator!$B$27+0.0000001,842/1000,"")</f>
        <v/>
      </c>
      <c r="B844" s="15">
        <f>IF(A844="","",A844/Calculator!$B$27)</f>
        <v/>
      </c>
      <c r="C844" s="15">
        <f>IF(A844="","",Calculator!$B$27-A844)</f>
        <v/>
      </c>
      <c r="D844" s="17">
        <f>IF(A844="","",(Calculator!$B$11+C844)*Calculator!$B$5)</f>
        <v/>
      </c>
      <c r="E844" s="12">
        <f>IF(A844="","",IF(Calculator!$B$17=1,ROUNDUP(D844*Calculator!$B$8/3600/Calculator!$B$24-0.000000001,0),D844*Calculator!$B$8/3600/Calculator!$B$24))</f>
        <v/>
      </c>
      <c r="F844" s="16">
        <f>IF(A844="","",IF(Calculator!$B$16=1,Calculator!$B$27,A844)*Calculator!$B$5*Calculator!$B$15)</f>
        <v/>
      </c>
      <c r="G844" s="16">
        <f>IF(A844="","",E844*Calculator!$B$6+Calculator!$C$37+F844+Calculator!$B$30)</f>
        <v/>
      </c>
      <c r="H844" s="16">
        <f>IF(A844="","",Calculator!$B$40-G844)</f>
        <v/>
      </c>
      <c r="I844" s="17">
        <f>IF(A844="","",A844*Calculator!$B$5*Calculator!$B$8/3600)</f>
        <v/>
      </c>
      <c r="J844" s="12">
        <f>IF(A844="","",Calculator!$B$35-E844)</f>
        <v/>
      </c>
    </row>
    <row r="845">
      <c r="A845" s="15">
        <f>IF(843/1000&lt;=Calculator!$B$27+0.0000001,843/1000,"")</f>
        <v/>
      </c>
      <c r="B845" s="15">
        <f>IF(A845="","",A845/Calculator!$B$27)</f>
        <v/>
      </c>
      <c r="C845" s="15">
        <f>IF(A845="","",Calculator!$B$27-A845)</f>
        <v/>
      </c>
      <c r="D845" s="17">
        <f>IF(A845="","",(Calculator!$B$11+C845)*Calculator!$B$5)</f>
        <v/>
      </c>
      <c r="E845" s="12">
        <f>IF(A845="","",IF(Calculator!$B$17=1,ROUNDUP(D845*Calculator!$B$8/3600/Calculator!$B$24-0.000000001,0),D845*Calculator!$B$8/3600/Calculator!$B$24))</f>
        <v/>
      </c>
      <c r="F845" s="16">
        <f>IF(A845="","",IF(Calculator!$B$16=1,Calculator!$B$27,A845)*Calculator!$B$5*Calculator!$B$15)</f>
        <v/>
      </c>
      <c r="G845" s="16">
        <f>IF(A845="","",E845*Calculator!$B$6+Calculator!$C$37+F845+Calculator!$B$30)</f>
        <v/>
      </c>
      <c r="H845" s="16">
        <f>IF(A845="","",Calculator!$B$40-G845)</f>
        <v/>
      </c>
      <c r="I845" s="17">
        <f>IF(A845="","",A845*Calculator!$B$5*Calculator!$B$8/3600)</f>
        <v/>
      </c>
      <c r="J845" s="12">
        <f>IF(A845="","",Calculator!$B$35-E845)</f>
        <v/>
      </c>
    </row>
    <row r="846">
      <c r="A846" s="15">
        <f>IF(844/1000&lt;=Calculator!$B$27+0.0000001,844/1000,"")</f>
        <v/>
      </c>
      <c r="B846" s="15">
        <f>IF(A846="","",A846/Calculator!$B$27)</f>
        <v/>
      </c>
      <c r="C846" s="15">
        <f>IF(A846="","",Calculator!$B$27-A846)</f>
        <v/>
      </c>
      <c r="D846" s="17">
        <f>IF(A846="","",(Calculator!$B$11+C846)*Calculator!$B$5)</f>
        <v/>
      </c>
      <c r="E846" s="12">
        <f>IF(A846="","",IF(Calculator!$B$17=1,ROUNDUP(D846*Calculator!$B$8/3600/Calculator!$B$24-0.000000001,0),D846*Calculator!$B$8/3600/Calculator!$B$24))</f>
        <v/>
      </c>
      <c r="F846" s="16">
        <f>IF(A846="","",IF(Calculator!$B$16=1,Calculator!$B$27,A846)*Calculator!$B$5*Calculator!$B$15)</f>
        <v/>
      </c>
      <c r="G846" s="16">
        <f>IF(A846="","",E846*Calculator!$B$6+Calculator!$C$37+F846+Calculator!$B$30)</f>
        <v/>
      </c>
      <c r="H846" s="16">
        <f>IF(A846="","",Calculator!$B$40-G846)</f>
        <v/>
      </c>
      <c r="I846" s="17">
        <f>IF(A846="","",A846*Calculator!$B$5*Calculator!$B$8/3600)</f>
        <v/>
      </c>
      <c r="J846" s="12">
        <f>IF(A846="","",Calculator!$B$35-E846)</f>
        <v/>
      </c>
    </row>
    <row r="847">
      <c r="A847" s="15">
        <f>IF(845/1000&lt;=Calculator!$B$27+0.0000001,845/1000,"")</f>
        <v/>
      </c>
      <c r="B847" s="15">
        <f>IF(A847="","",A847/Calculator!$B$27)</f>
        <v/>
      </c>
      <c r="C847" s="15">
        <f>IF(A847="","",Calculator!$B$27-A847)</f>
        <v/>
      </c>
      <c r="D847" s="17">
        <f>IF(A847="","",(Calculator!$B$11+C847)*Calculator!$B$5)</f>
        <v/>
      </c>
      <c r="E847" s="12">
        <f>IF(A847="","",IF(Calculator!$B$17=1,ROUNDUP(D847*Calculator!$B$8/3600/Calculator!$B$24-0.000000001,0),D847*Calculator!$B$8/3600/Calculator!$B$24))</f>
        <v/>
      </c>
      <c r="F847" s="16">
        <f>IF(A847="","",IF(Calculator!$B$16=1,Calculator!$B$27,A847)*Calculator!$B$5*Calculator!$B$15)</f>
        <v/>
      </c>
      <c r="G847" s="16">
        <f>IF(A847="","",E847*Calculator!$B$6+Calculator!$C$37+F847+Calculator!$B$30)</f>
        <v/>
      </c>
      <c r="H847" s="16">
        <f>IF(A847="","",Calculator!$B$40-G847)</f>
        <v/>
      </c>
      <c r="I847" s="17">
        <f>IF(A847="","",A847*Calculator!$B$5*Calculator!$B$8/3600)</f>
        <v/>
      </c>
      <c r="J847" s="12">
        <f>IF(A847="","",Calculator!$B$35-E847)</f>
        <v/>
      </c>
    </row>
    <row r="848">
      <c r="A848" s="15">
        <f>IF(846/1000&lt;=Calculator!$B$27+0.0000001,846/1000,"")</f>
        <v/>
      </c>
      <c r="B848" s="15">
        <f>IF(A848="","",A848/Calculator!$B$27)</f>
        <v/>
      </c>
      <c r="C848" s="15">
        <f>IF(A848="","",Calculator!$B$27-A848)</f>
        <v/>
      </c>
      <c r="D848" s="17">
        <f>IF(A848="","",(Calculator!$B$11+C848)*Calculator!$B$5)</f>
        <v/>
      </c>
      <c r="E848" s="12">
        <f>IF(A848="","",IF(Calculator!$B$17=1,ROUNDUP(D848*Calculator!$B$8/3600/Calculator!$B$24-0.000000001,0),D848*Calculator!$B$8/3600/Calculator!$B$24))</f>
        <v/>
      </c>
      <c r="F848" s="16">
        <f>IF(A848="","",IF(Calculator!$B$16=1,Calculator!$B$27,A848)*Calculator!$B$5*Calculator!$B$15)</f>
        <v/>
      </c>
      <c r="G848" s="16">
        <f>IF(A848="","",E848*Calculator!$B$6+Calculator!$C$37+F848+Calculator!$B$30)</f>
        <v/>
      </c>
      <c r="H848" s="16">
        <f>IF(A848="","",Calculator!$B$40-G848)</f>
        <v/>
      </c>
      <c r="I848" s="17">
        <f>IF(A848="","",A848*Calculator!$B$5*Calculator!$B$8/3600)</f>
        <v/>
      </c>
      <c r="J848" s="12">
        <f>IF(A848="","",Calculator!$B$35-E848)</f>
        <v/>
      </c>
    </row>
    <row r="849">
      <c r="A849" s="15">
        <f>IF(847/1000&lt;=Calculator!$B$27+0.0000001,847/1000,"")</f>
        <v/>
      </c>
      <c r="B849" s="15">
        <f>IF(A849="","",A849/Calculator!$B$27)</f>
        <v/>
      </c>
      <c r="C849" s="15">
        <f>IF(A849="","",Calculator!$B$27-A849)</f>
        <v/>
      </c>
      <c r="D849" s="17">
        <f>IF(A849="","",(Calculator!$B$11+C849)*Calculator!$B$5)</f>
        <v/>
      </c>
      <c r="E849" s="12">
        <f>IF(A849="","",IF(Calculator!$B$17=1,ROUNDUP(D849*Calculator!$B$8/3600/Calculator!$B$24-0.000000001,0),D849*Calculator!$B$8/3600/Calculator!$B$24))</f>
        <v/>
      </c>
      <c r="F849" s="16">
        <f>IF(A849="","",IF(Calculator!$B$16=1,Calculator!$B$27,A849)*Calculator!$B$5*Calculator!$B$15)</f>
        <v/>
      </c>
      <c r="G849" s="16">
        <f>IF(A849="","",E849*Calculator!$B$6+Calculator!$C$37+F849+Calculator!$B$30)</f>
        <v/>
      </c>
      <c r="H849" s="16">
        <f>IF(A849="","",Calculator!$B$40-G849)</f>
        <v/>
      </c>
      <c r="I849" s="17">
        <f>IF(A849="","",A849*Calculator!$B$5*Calculator!$B$8/3600)</f>
        <v/>
      </c>
      <c r="J849" s="12">
        <f>IF(A849="","",Calculator!$B$35-E849)</f>
        <v/>
      </c>
    </row>
    <row r="850">
      <c r="A850" s="15">
        <f>IF(848/1000&lt;=Calculator!$B$27+0.0000001,848/1000,"")</f>
        <v/>
      </c>
      <c r="B850" s="15">
        <f>IF(A850="","",A850/Calculator!$B$27)</f>
        <v/>
      </c>
      <c r="C850" s="15">
        <f>IF(A850="","",Calculator!$B$27-A850)</f>
        <v/>
      </c>
      <c r="D850" s="17">
        <f>IF(A850="","",(Calculator!$B$11+C850)*Calculator!$B$5)</f>
        <v/>
      </c>
      <c r="E850" s="12">
        <f>IF(A850="","",IF(Calculator!$B$17=1,ROUNDUP(D850*Calculator!$B$8/3600/Calculator!$B$24-0.000000001,0),D850*Calculator!$B$8/3600/Calculator!$B$24))</f>
        <v/>
      </c>
      <c r="F850" s="16">
        <f>IF(A850="","",IF(Calculator!$B$16=1,Calculator!$B$27,A850)*Calculator!$B$5*Calculator!$B$15)</f>
        <v/>
      </c>
      <c r="G850" s="16">
        <f>IF(A850="","",E850*Calculator!$B$6+Calculator!$C$37+F850+Calculator!$B$30)</f>
        <v/>
      </c>
      <c r="H850" s="16">
        <f>IF(A850="","",Calculator!$B$40-G850)</f>
        <v/>
      </c>
      <c r="I850" s="17">
        <f>IF(A850="","",A850*Calculator!$B$5*Calculator!$B$8/3600)</f>
        <v/>
      </c>
      <c r="J850" s="12">
        <f>IF(A850="","",Calculator!$B$35-E850)</f>
        <v/>
      </c>
    </row>
    <row r="851">
      <c r="A851" s="15">
        <f>IF(849/1000&lt;=Calculator!$B$27+0.0000001,849/1000,"")</f>
        <v/>
      </c>
      <c r="B851" s="15">
        <f>IF(A851="","",A851/Calculator!$B$27)</f>
        <v/>
      </c>
      <c r="C851" s="15">
        <f>IF(A851="","",Calculator!$B$27-A851)</f>
        <v/>
      </c>
      <c r="D851" s="17">
        <f>IF(A851="","",(Calculator!$B$11+C851)*Calculator!$B$5)</f>
        <v/>
      </c>
      <c r="E851" s="12">
        <f>IF(A851="","",IF(Calculator!$B$17=1,ROUNDUP(D851*Calculator!$B$8/3600/Calculator!$B$24-0.000000001,0),D851*Calculator!$B$8/3600/Calculator!$B$24))</f>
        <v/>
      </c>
      <c r="F851" s="16">
        <f>IF(A851="","",IF(Calculator!$B$16=1,Calculator!$B$27,A851)*Calculator!$B$5*Calculator!$B$15)</f>
        <v/>
      </c>
      <c r="G851" s="16">
        <f>IF(A851="","",E851*Calculator!$B$6+Calculator!$C$37+F851+Calculator!$B$30)</f>
        <v/>
      </c>
      <c r="H851" s="16">
        <f>IF(A851="","",Calculator!$B$40-G851)</f>
        <v/>
      </c>
      <c r="I851" s="17">
        <f>IF(A851="","",A851*Calculator!$B$5*Calculator!$B$8/3600)</f>
        <v/>
      </c>
      <c r="J851" s="12">
        <f>IF(A851="","",Calculator!$B$35-E851)</f>
        <v/>
      </c>
    </row>
    <row r="852">
      <c r="A852" s="15">
        <f>IF(850/1000&lt;=Calculator!$B$27+0.0000001,850/1000,"")</f>
        <v/>
      </c>
      <c r="B852" s="15">
        <f>IF(A852="","",A852/Calculator!$B$27)</f>
        <v/>
      </c>
      <c r="C852" s="15">
        <f>IF(A852="","",Calculator!$B$27-A852)</f>
        <v/>
      </c>
      <c r="D852" s="17">
        <f>IF(A852="","",(Calculator!$B$11+C852)*Calculator!$B$5)</f>
        <v/>
      </c>
      <c r="E852" s="12">
        <f>IF(A852="","",IF(Calculator!$B$17=1,ROUNDUP(D852*Calculator!$B$8/3600/Calculator!$B$24-0.000000001,0),D852*Calculator!$B$8/3600/Calculator!$B$24))</f>
        <v/>
      </c>
      <c r="F852" s="16">
        <f>IF(A852="","",IF(Calculator!$B$16=1,Calculator!$B$27,A852)*Calculator!$B$5*Calculator!$B$15)</f>
        <v/>
      </c>
      <c r="G852" s="16">
        <f>IF(A852="","",E852*Calculator!$B$6+Calculator!$C$37+F852+Calculator!$B$30)</f>
        <v/>
      </c>
      <c r="H852" s="16">
        <f>IF(A852="","",Calculator!$B$40-G852)</f>
        <v/>
      </c>
      <c r="I852" s="17">
        <f>IF(A852="","",A852*Calculator!$B$5*Calculator!$B$8/3600)</f>
        <v/>
      </c>
      <c r="J852" s="12">
        <f>IF(A852="","",Calculator!$B$35-E852)</f>
        <v/>
      </c>
    </row>
    <row r="853">
      <c r="A853" s="15">
        <f>IF(851/1000&lt;=Calculator!$B$27+0.0000001,851/1000,"")</f>
        <v/>
      </c>
      <c r="B853" s="15">
        <f>IF(A853="","",A853/Calculator!$B$27)</f>
        <v/>
      </c>
      <c r="C853" s="15">
        <f>IF(A853="","",Calculator!$B$27-A853)</f>
        <v/>
      </c>
      <c r="D853" s="17">
        <f>IF(A853="","",(Calculator!$B$11+C853)*Calculator!$B$5)</f>
        <v/>
      </c>
      <c r="E853" s="12">
        <f>IF(A853="","",IF(Calculator!$B$17=1,ROUNDUP(D853*Calculator!$B$8/3600/Calculator!$B$24-0.000000001,0),D853*Calculator!$B$8/3600/Calculator!$B$24))</f>
        <v/>
      </c>
      <c r="F853" s="16">
        <f>IF(A853="","",IF(Calculator!$B$16=1,Calculator!$B$27,A853)*Calculator!$B$5*Calculator!$B$15)</f>
        <v/>
      </c>
      <c r="G853" s="16">
        <f>IF(A853="","",E853*Calculator!$B$6+Calculator!$C$37+F853+Calculator!$B$30)</f>
        <v/>
      </c>
      <c r="H853" s="16">
        <f>IF(A853="","",Calculator!$B$40-G853)</f>
        <v/>
      </c>
      <c r="I853" s="17">
        <f>IF(A853="","",A853*Calculator!$B$5*Calculator!$B$8/3600)</f>
        <v/>
      </c>
      <c r="J853" s="12">
        <f>IF(A853="","",Calculator!$B$35-E853)</f>
        <v/>
      </c>
    </row>
    <row r="854">
      <c r="A854" s="15">
        <f>IF(852/1000&lt;=Calculator!$B$27+0.0000001,852/1000,"")</f>
        <v/>
      </c>
      <c r="B854" s="15">
        <f>IF(A854="","",A854/Calculator!$B$27)</f>
        <v/>
      </c>
      <c r="C854" s="15">
        <f>IF(A854="","",Calculator!$B$27-A854)</f>
        <v/>
      </c>
      <c r="D854" s="17">
        <f>IF(A854="","",(Calculator!$B$11+C854)*Calculator!$B$5)</f>
        <v/>
      </c>
      <c r="E854" s="12">
        <f>IF(A854="","",IF(Calculator!$B$17=1,ROUNDUP(D854*Calculator!$B$8/3600/Calculator!$B$24-0.000000001,0),D854*Calculator!$B$8/3600/Calculator!$B$24))</f>
        <v/>
      </c>
      <c r="F854" s="16">
        <f>IF(A854="","",IF(Calculator!$B$16=1,Calculator!$B$27,A854)*Calculator!$B$5*Calculator!$B$15)</f>
        <v/>
      </c>
      <c r="G854" s="16">
        <f>IF(A854="","",E854*Calculator!$B$6+Calculator!$C$37+F854+Calculator!$B$30)</f>
        <v/>
      </c>
      <c r="H854" s="16">
        <f>IF(A854="","",Calculator!$B$40-G854)</f>
        <v/>
      </c>
      <c r="I854" s="17">
        <f>IF(A854="","",A854*Calculator!$B$5*Calculator!$B$8/3600)</f>
        <v/>
      </c>
      <c r="J854" s="12">
        <f>IF(A854="","",Calculator!$B$35-E854)</f>
        <v/>
      </c>
    </row>
    <row r="855">
      <c r="A855" s="15">
        <f>IF(853/1000&lt;=Calculator!$B$27+0.0000001,853/1000,"")</f>
        <v/>
      </c>
      <c r="B855" s="15">
        <f>IF(A855="","",A855/Calculator!$B$27)</f>
        <v/>
      </c>
      <c r="C855" s="15">
        <f>IF(A855="","",Calculator!$B$27-A855)</f>
        <v/>
      </c>
      <c r="D855" s="17">
        <f>IF(A855="","",(Calculator!$B$11+C855)*Calculator!$B$5)</f>
        <v/>
      </c>
      <c r="E855" s="12">
        <f>IF(A855="","",IF(Calculator!$B$17=1,ROUNDUP(D855*Calculator!$B$8/3600/Calculator!$B$24-0.000000001,0),D855*Calculator!$B$8/3600/Calculator!$B$24))</f>
        <v/>
      </c>
      <c r="F855" s="16">
        <f>IF(A855="","",IF(Calculator!$B$16=1,Calculator!$B$27,A855)*Calculator!$B$5*Calculator!$B$15)</f>
        <v/>
      </c>
      <c r="G855" s="16">
        <f>IF(A855="","",E855*Calculator!$B$6+Calculator!$C$37+F855+Calculator!$B$30)</f>
        <v/>
      </c>
      <c r="H855" s="16">
        <f>IF(A855="","",Calculator!$B$40-G855)</f>
        <v/>
      </c>
      <c r="I855" s="17">
        <f>IF(A855="","",A855*Calculator!$B$5*Calculator!$B$8/3600)</f>
        <v/>
      </c>
      <c r="J855" s="12">
        <f>IF(A855="","",Calculator!$B$35-E855)</f>
        <v/>
      </c>
    </row>
    <row r="856">
      <c r="A856" s="15">
        <f>IF(854/1000&lt;=Calculator!$B$27+0.0000001,854/1000,"")</f>
        <v/>
      </c>
      <c r="B856" s="15">
        <f>IF(A856="","",A856/Calculator!$B$27)</f>
        <v/>
      </c>
      <c r="C856" s="15">
        <f>IF(A856="","",Calculator!$B$27-A856)</f>
        <v/>
      </c>
      <c r="D856" s="17">
        <f>IF(A856="","",(Calculator!$B$11+C856)*Calculator!$B$5)</f>
        <v/>
      </c>
      <c r="E856" s="12">
        <f>IF(A856="","",IF(Calculator!$B$17=1,ROUNDUP(D856*Calculator!$B$8/3600/Calculator!$B$24-0.000000001,0),D856*Calculator!$B$8/3600/Calculator!$B$24))</f>
        <v/>
      </c>
      <c r="F856" s="16">
        <f>IF(A856="","",IF(Calculator!$B$16=1,Calculator!$B$27,A856)*Calculator!$B$5*Calculator!$B$15)</f>
        <v/>
      </c>
      <c r="G856" s="16">
        <f>IF(A856="","",E856*Calculator!$B$6+Calculator!$C$37+F856+Calculator!$B$30)</f>
        <v/>
      </c>
      <c r="H856" s="16">
        <f>IF(A856="","",Calculator!$B$40-G856)</f>
        <v/>
      </c>
      <c r="I856" s="17">
        <f>IF(A856="","",A856*Calculator!$B$5*Calculator!$B$8/3600)</f>
        <v/>
      </c>
      <c r="J856" s="12">
        <f>IF(A856="","",Calculator!$B$35-E856)</f>
        <v/>
      </c>
    </row>
    <row r="857">
      <c r="A857" s="15">
        <f>IF(855/1000&lt;=Calculator!$B$27+0.0000001,855/1000,"")</f>
        <v/>
      </c>
      <c r="B857" s="15">
        <f>IF(A857="","",A857/Calculator!$B$27)</f>
        <v/>
      </c>
      <c r="C857" s="15">
        <f>IF(A857="","",Calculator!$B$27-A857)</f>
        <v/>
      </c>
      <c r="D857" s="17">
        <f>IF(A857="","",(Calculator!$B$11+C857)*Calculator!$B$5)</f>
        <v/>
      </c>
      <c r="E857" s="12">
        <f>IF(A857="","",IF(Calculator!$B$17=1,ROUNDUP(D857*Calculator!$B$8/3600/Calculator!$B$24-0.000000001,0),D857*Calculator!$B$8/3600/Calculator!$B$24))</f>
        <v/>
      </c>
      <c r="F857" s="16">
        <f>IF(A857="","",IF(Calculator!$B$16=1,Calculator!$B$27,A857)*Calculator!$B$5*Calculator!$B$15)</f>
        <v/>
      </c>
      <c r="G857" s="16">
        <f>IF(A857="","",E857*Calculator!$B$6+Calculator!$C$37+F857+Calculator!$B$30)</f>
        <v/>
      </c>
      <c r="H857" s="16">
        <f>IF(A857="","",Calculator!$B$40-G857)</f>
        <v/>
      </c>
      <c r="I857" s="17">
        <f>IF(A857="","",A857*Calculator!$B$5*Calculator!$B$8/3600)</f>
        <v/>
      </c>
      <c r="J857" s="12">
        <f>IF(A857="","",Calculator!$B$35-E857)</f>
        <v/>
      </c>
    </row>
    <row r="858">
      <c r="A858" s="15">
        <f>IF(856/1000&lt;=Calculator!$B$27+0.0000001,856/1000,"")</f>
        <v/>
      </c>
      <c r="B858" s="15">
        <f>IF(A858="","",A858/Calculator!$B$27)</f>
        <v/>
      </c>
      <c r="C858" s="15">
        <f>IF(A858="","",Calculator!$B$27-A858)</f>
        <v/>
      </c>
      <c r="D858" s="17">
        <f>IF(A858="","",(Calculator!$B$11+C858)*Calculator!$B$5)</f>
        <v/>
      </c>
      <c r="E858" s="12">
        <f>IF(A858="","",IF(Calculator!$B$17=1,ROUNDUP(D858*Calculator!$B$8/3600/Calculator!$B$24-0.000000001,0),D858*Calculator!$B$8/3600/Calculator!$B$24))</f>
        <v/>
      </c>
      <c r="F858" s="16">
        <f>IF(A858="","",IF(Calculator!$B$16=1,Calculator!$B$27,A858)*Calculator!$B$5*Calculator!$B$15)</f>
        <v/>
      </c>
      <c r="G858" s="16">
        <f>IF(A858="","",E858*Calculator!$B$6+Calculator!$C$37+F858+Calculator!$B$30)</f>
        <v/>
      </c>
      <c r="H858" s="16">
        <f>IF(A858="","",Calculator!$B$40-G858)</f>
        <v/>
      </c>
      <c r="I858" s="17">
        <f>IF(A858="","",A858*Calculator!$B$5*Calculator!$B$8/3600)</f>
        <v/>
      </c>
      <c r="J858" s="12">
        <f>IF(A858="","",Calculator!$B$35-E858)</f>
        <v/>
      </c>
    </row>
    <row r="859">
      <c r="A859" s="15">
        <f>IF(857/1000&lt;=Calculator!$B$27+0.0000001,857/1000,"")</f>
        <v/>
      </c>
      <c r="B859" s="15">
        <f>IF(A859="","",A859/Calculator!$B$27)</f>
        <v/>
      </c>
      <c r="C859" s="15">
        <f>IF(A859="","",Calculator!$B$27-A859)</f>
        <v/>
      </c>
      <c r="D859" s="17">
        <f>IF(A859="","",(Calculator!$B$11+C859)*Calculator!$B$5)</f>
        <v/>
      </c>
      <c r="E859" s="12">
        <f>IF(A859="","",IF(Calculator!$B$17=1,ROUNDUP(D859*Calculator!$B$8/3600/Calculator!$B$24-0.000000001,0),D859*Calculator!$B$8/3600/Calculator!$B$24))</f>
        <v/>
      </c>
      <c r="F859" s="16">
        <f>IF(A859="","",IF(Calculator!$B$16=1,Calculator!$B$27,A859)*Calculator!$B$5*Calculator!$B$15)</f>
        <v/>
      </c>
      <c r="G859" s="16">
        <f>IF(A859="","",E859*Calculator!$B$6+Calculator!$C$37+F859+Calculator!$B$30)</f>
        <v/>
      </c>
      <c r="H859" s="16">
        <f>IF(A859="","",Calculator!$B$40-G859)</f>
        <v/>
      </c>
      <c r="I859" s="17">
        <f>IF(A859="","",A859*Calculator!$B$5*Calculator!$B$8/3600)</f>
        <v/>
      </c>
      <c r="J859" s="12">
        <f>IF(A859="","",Calculator!$B$35-E859)</f>
        <v/>
      </c>
    </row>
    <row r="860">
      <c r="A860" s="15">
        <f>IF(858/1000&lt;=Calculator!$B$27+0.0000001,858/1000,"")</f>
        <v/>
      </c>
      <c r="B860" s="15">
        <f>IF(A860="","",A860/Calculator!$B$27)</f>
        <v/>
      </c>
      <c r="C860" s="15">
        <f>IF(A860="","",Calculator!$B$27-A860)</f>
        <v/>
      </c>
      <c r="D860" s="17">
        <f>IF(A860="","",(Calculator!$B$11+C860)*Calculator!$B$5)</f>
        <v/>
      </c>
      <c r="E860" s="12">
        <f>IF(A860="","",IF(Calculator!$B$17=1,ROUNDUP(D860*Calculator!$B$8/3600/Calculator!$B$24-0.000000001,0),D860*Calculator!$B$8/3600/Calculator!$B$24))</f>
        <v/>
      </c>
      <c r="F860" s="16">
        <f>IF(A860="","",IF(Calculator!$B$16=1,Calculator!$B$27,A860)*Calculator!$B$5*Calculator!$B$15)</f>
        <v/>
      </c>
      <c r="G860" s="16">
        <f>IF(A860="","",E860*Calculator!$B$6+Calculator!$C$37+F860+Calculator!$B$30)</f>
        <v/>
      </c>
      <c r="H860" s="16">
        <f>IF(A860="","",Calculator!$B$40-G860)</f>
        <v/>
      </c>
      <c r="I860" s="17">
        <f>IF(A860="","",A860*Calculator!$B$5*Calculator!$B$8/3600)</f>
        <v/>
      </c>
      <c r="J860" s="12">
        <f>IF(A860="","",Calculator!$B$35-E860)</f>
        <v/>
      </c>
    </row>
    <row r="861">
      <c r="A861" s="15">
        <f>IF(859/1000&lt;=Calculator!$B$27+0.0000001,859/1000,"")</f>
        <v/>
      </c>
      <c r="B861" s="15">
        <f>IF(A861="","",A861/Calculator!$B$27)</f>
        <v/>
      </c>
      <c r="C861" s="15">
        <f>IF(A861="","",Calculator!$B$27-A861)</f>
        <v/>
      </c>
      <c r="D861" s="17">
        <f>IF(A861="","",(Calculator!$B$11+C861)*Calculator!$B$5)</f>
        <v/>
      </c>
      <c r="E861" s="12">
        <f>IF(A861="","",IF(Calculator!$B$17=1,ROUNDUP(D861*Calculator!$B$8/3600/Calculator!$B$24-0.000000001,0),D861*Calculator!$B$8/3600/Calculator!$B$24))</f>
        <v/>
      </c>
      <c r="F861" s="16">
        <f>IF(A861="","",IF(Calculator!$B$16=1,Calculator!$B$27,A861)*Calculator!$B$5*Calculator!$B$15)</f>
        <v/>
      </c>
      <c r="G861" s="16">
        <f>IF(A861="","",E861*Calculator!$B$6+Calculator!$C$37+F861+Calculator!$B$30)</f>
        <v/>
      </c>
      <c r="H861" s="16">
        <f>IF(A861="","",Calculator!$B$40-G861)</f>
        <v/>
      </c>
      <c r="I861" s="17">
        <f>IF(A861="","",A861*Calculator!$B$5*Calculator!$B$8/3600)</f>
        <v/>
      </c>
      <c r="J861" s="12">
        <f>IF(A861="","",Calculator!$B$35-E861)</f>
        <v/>
      </c>
    </row>
    <row r="862">
      <c r="A862" s="15">
        <f>IF(860/1000&lt;=Calculator!$B$27+0.0000001,860/1000,"")</f>
        <v/>
      </c>
      <c r="B862" s="15">
        <f>IF(A862="","",A862/Calculator!$B$27)</f>
        <v/>
      </c>
      <c r="C862" s="15">
        <f>IF(A862="","",Calculator!$B$27-A862)</f>
        <v/>
      </c>
      <c r="D862" s="17">
        <f>IF(A862="","",(Calculator!$B$11+C862)*Calculator!$B$5)</f>
        <v/>
      </c>
      <c r="E862" s="12">
        <f>IF(A862="","",IF(Calculator!$B$17=1,ROUNDUP(D862*Calculator!$B$8/3600/Calculator!$B$24-0.000000001,0),D862*Calculator!$B$8/3600/Calculator!$B$24))</f>
        <v/>
      </c>
      <c r="F862" s="16">
        <f>IF(A862="","",IF(Calculator!$B$16=1,Calculator!$B$27,A862)*Calculator!$B$5*Calculator!$B$15)</f>
        <v/>
      </c>
      <c r="G862" s="16">
        <f>IF(A862="","",E862*Calculator!$B$6+Calculator!$C$37+F862+Calculator!$B$30)</f>
        <v/>
      </c>
      <c r="H862" s="16">
        <f>IF(A862="","",Calculator!$B$40-G862)</f>
        <v/>
      </c>
      <c r="I862" s="17">
        <f>IF(A862="","",A862*Calculator!$B$5*Calculator!$B$8/3600)</f>
        <v/>
      </c>
      <c r="J862" s="12">
        <f>IF(A862="","",Calculator!$B$35-E862)</f>
        <v/>
      </c>
    </row>
    <row r="863">
      <c r="A863" s="15">
        <f>IF(861/1000&lt;=Calculator!$B$27+0.0000001,861/1000,"")</f>
        <v/>
      </c>
      <c r="B863" s="15">
        <f>IF(A863="","",A863/Calculator!$B$27)</f>
        <v/>
      </c>
      <c r="C863" s="15">
        <f>IF(A863="","",Calculator!$B$27-A863)</f>
        <v/>
      </c>
      <c r="D863" s="17">
        <f>IF(A863="","",(Calculator!$B$11+C863)*Calculator!$B$5)</f>
        <v/>
      </c>
      <c r="E863" s="12">
        <f>IF(A863="","",IF(Calculator!$B$17=1,ROUNDUP(D863*Calculator!$B$8/3600/Calculator!$B$24-0.000000001,0),D863*Calculator!$B$8/3600/Calculator!$B$24))</f>
        <v/>
      </c>
      <c r="F863" s="16">
        <f>IF(A863="","",IF(Calculator!$B$16=1,Calculator!$B$27,A863)*Calculator!$B$5*Calculator!$B$15)</f>
        <v/>
      </c>
      <c r="G863" s="16">
        <f>IF(A863="","",E863*Calculator!$B$6+Calculator!$C$37+F863+Calculator!$B$30)</f>
        <v/>
      </c>
      <c r="H863" s="16">
        <f>IF(A863="","",Calculator!$B$40-G863)</f>
        <v/>
      </c>
      <c r="I863" s="17">
        <f>IF(A863="","",A863*Calculator!$B$5*Calculator!$B$8/3600)</f>
        <v/>
      </c>
      <c r="J863" s="12">
        <f>IF(A863="","",Calculator!$B$35-E863)</f>
        <v/>
      </c>
    </row>
    <row r="864">
      <c r="A864" s="15">
        <f>IF(862/1000&lt;=Calculator!$B$27+0.0000001,862/1000,"")</f>
        <v/>
      </c>
      <c r="B864" s="15">
        <f>IF(A864="","",A864/Calculator!$B$27)</f>
        <v/>
      </c>
      <c r="C864" s="15">
        <f>IF(A864="","",Calculator!$B$27-A864)</f>
        <v/>
      </c>
      <c r="D864" s="17">
        <f>IF(A864="","",(Calculator!$B$11+C864)*Calculator!$B$5)</f>
        <v/>
      </c>
      <c r="E864" s="12">
        <f>IF(A864="","",IF(Calculator!$B$17=1,ROUNDUP(D864*Calculator!$B$8/3600/Calculator!$B$24-0.000000001,0),D864*Calculator!$B$8/3600/Calculator!$B$24))</f>
        <v/>
      </c>
      <c r="F864" s="16">
        <f>IF(A864="","",IF(Calculator!$B$16=1,Calculator!$B$27,A864)*Calculator!$B$5*Calculator!$B$15)</f>
        <v/>
      </c>
      <c r="G864" s="16">
        <f>IF(A864="","",E864*Calculator!$B$6+Calculator!$C$37+F864+Calculator!$B$30)</f>
        <v/>
      </c>
      <c r="H864" s="16">
        <f>IF(A864="","",Calculator!$B$40-G864)</f>
        <v/>
      </c>
      <c r="I864" s="17">
        <f>IF(A864="","",A864*Calculator!$B$5*Calculator!$B$8/3600)</f>
        <v/>
      </c>
      <c r="J864" s="12">
        <f>IF(A864="","",Calculator!$B$35-E864)</f>
        <v/>
      </c>
    </row>
    <row r="865">
      <c r="A865" s="15">
        <f>IF(863/1000&lt;=Calculator!$B$27+0.0000001,863/1000,"")</f>
        <v/>
      </c>
      <c r="B865" s="15">
        <f>IF(A865="","",A865/Calculator!$B$27)</f>
        <v/>
      </c>
      <c r="C865" s="15">
        <f>IF(A865="","",Calculator!$B$27-A865)</f>
        <v/>
      </c>
      <c r="D865" s="17">
        <f>IF(A865="","",(Calculator!$B$11+C865)*Calculator!$B$5)</f>
        <v/>
      </c>
      <c r="E865" s="12">
        <f>IF(A865="","",IF(Calculator!$B$17=1,ROUNDUP(D865*Calculator!$B$8/3600/Calculator!$B$24-0.000000001,0),D865*Calculator!$B$8/3600/Calculator!$B$24))</f>
        <v/>
      </c>
      <c r="F865" s="16">
        <f>IF(A865="","",IF(Calculator!$B$16=1,Calculator!$B$27,A865)*Calculator!$B$5*Calculator!$B$15)</f>
        <v/>
      </c>
      <c r="G865" s="16">
        <f>IF(A865="","",E865*Calculator!$B$6+Calculator!$C$37+F865+Calculator!$B$30)</f>
        <v/>
      </c>
      <c r="H865" s="16">
        <f>IF(A865="","",Calculator!$B$40-G865)</f>
        <v/>
      </c>
      <c r="I865" s="17">
        <f>IF(A865="","",A865*Calculator!$B$5*Calculator!$B$8/3600)</f>
        <v/>
      </c>
      <c r="J865" s="12">
        <f>IF(A865="","",Calculator!$B$35-E865)</f>
        <v/>
      </c>
    </row>
    <row r="866">
      <c r="A866" s="15">
        <f>IF(864/1000&lt;=Calculator!$B$27+0.0000001,864/1000,"")</f>
        <v/>
      </c>
      <c r="B866" s="15">
        <f>IF(A866="","",A866/Calculator!$B$27)</f>
        <v/>
      </c>
      <c r="C866" s="15">
        <f>IF(A866="","",Calculator!$B$27-A866)</f>
        <v/>
      </c>
      <c r="D866" s="17">
        <f>IF(A866="","",(Calculator!$B$11+C866)*Calculator!$B$5)</f>
        <v/>
      </c>
      <c r="E866" s="12">
        <f>IF(A866="","",IF(Calculator!$B$17=1,ROUNDUP(D866*Calculator!$B$8/3600/Calculator!$B$24-0.000000001,0),D866*Calculator!$B$8/3600/Calculator!$B$24))</f>
        <v/>
      </c>
      <c r="F866" s="16">
        <f>IF(A866="","",IF(Calculator!$B$16=1,Calculator!$B$27,A866)*Calculator!$B$5*Calculator!$B$15)</f>
        <v/>
      </c>
      <c r="G866" s="16">
        <f>IF(A866="","",E866*Calculator!$B$6+Calculator!$C$37+F866+Calculator!$B$30)</f>
        <v/>
      </c>
      <c r="H866" s="16">
        <f>IF(A866="","",Calculator!$B$40-G866)</f>
        <v/>
      </c>
      <c r="I866" s="17">
        <f>IF(A866="","",A866*Calculator!$B$5*Calculator!$B$8/3600)</f>
        <v/>
      </c>
      <c r="J866" s="12">
        <f>IF(A866="","",Calculator!$B$35-E866)</f>
        <v/>
      </c>
    </row>
    <row r="867">
      <c r="A867" s="15">
        <f>IF(865/1000&lt;=Calculator!$B$27+0.0000001,865/1000,"")</f>
        <v/>
      </c>
      <c r="B867" s="15">
        <f>IF(A867="","",A867/Calculator!$B$27)</f>
        <v/>
      </c>
      <c r="C867" s="15">
        <f>IF(A867="","",Calculator!$B$27-A867)</f>
        <v/>
      </c>
      <c r="D867" s="17">
        <f>IF(A867="","",(Calculator!$B$11+C867)*Calculator!$B$5)</f>
        <v/>
      </c>
      <c r="E867" s="12">
        <f>IF(A867="","",IF(Calculator!$B$17=1,ROUNDUP(D867*Calculator!$B$8/3600/Calculator!$B$24-0.000000001,0),D867*Calculator!$B$8/3600/Calculator!$B$24))</f>
        <v/>
      </c>
      <c r="F867" s="16">
        <f>IF(A867="","",IF(Calculator!$B$16=1,Calculator!$B$27,A867)*Calculator!$B$5*Calculator!$B$15)</f>
        <v/>
      </c>
      <c r="G867" s="16">
        <f>IF(A867="","",E867*Calculator!$B$6+Calculator!$C$37+F867+Calculator!$B$30)</f>
        <v/>
      </c>
      <c r="H867" s="16">
        <f>IF(A867="","",Calculator!$B$40-G867)</f>
        <v/>
      </c>
      <c r="I867" s="17">
        <f>IF(A867="","",A867*Calculator!$B$5*Calculator!$B$8/3600)</f>
        <v/>
      </c>
      <c r="J867" s="12">
        <f>IF(A867="","",Calculator!$B$35-E867)</f>
        <v/>
      </c>
    </row>
    <row r="868">
      <c r="A868" s="15">
        <f>IF(866/1000&lt;=Calculator!$B$27+0.0000001,866/1000,"")</f>
        <v/>
      </c>
      <c r="B868" s="15">
        <f>IF(A868="","",A868/Calculator!$B$27)</f>
        <v/>
      </c>
      <c r="C868" s="15">
        <f>IF(A868="","",Calculator!$B$27-A868)</f>
        <v/>
      </c>
      <c r="D868" s="17">
        <f>IF(A868="","",(Calculator!$B$11+C868)*Calculator!$B$5)</f>
        <v/>
      </c>
      <c r="E868" s="12">
        <f>IF(A868="","",IF(Calculator!$B$17=1,ROUNDUP(D868*Calculator!$B$8/3600/Calculator!$B$24-0.000000001,0),D868*Calculator!$B$8/3600/Calculator!$B$24))</f>
        <v/>
      </c>
      <c r="F868" s="16">
        <f>IF(A868="","",IF(Calculator!$B$16=1,Calculator!$B$27,A868)*Calculator!$B$5*Calculator!$B$15)</f>
        <v/>
      </c>
      <c r="G868" s="16">
        <f>IF(A868="","",E868*Calculator!$B$6+Calculator!$C$37+F868+Calculator!$B$30)</f>
        <v/>
      </c>
      <c r="H868" s="16">
        <f>IF(A868="","",Calculator!$B$40-G868)</f>
        <v/>
      </c>
      <c r="I868" s="17">
        <f>IF(A868="","",A868*Calculator!$B$5*Calculator!$B$8/3600)</f>
        <v/>
      </c>
      <c r="J868" s="12">
        <f>IF(A868="","",Calculator!$B$35-E868)</f>
        <v/>
      </c>
    </row>
    <row r="869">
      <c r="A869" s="15">
        <f>IF(867/1000&lt;=Calculator!$B$27+0.0000001,867/1000,"")</f>
        <v/>
      </c>
      <c r="B869" s="15">
        <f>IF(A869="","",A869/Calculator!$B$27)</f>
        <v/>
      </c>
      <c r="C869" s="15">
        <f>IF(A869="","",Calculator!$B$27-A869)</f>
        <v/>
      </c>
      <c r="D869" s="17">
        <f>IF(A869="","",(Calculator!$B$11+C869)*Calculator!$B$5)</f>
        <v/>
      </c>
      <c r="E869" s="12">
        <f>IF(A869="","",IF(Calculator!$B$17=1,ROUNDUP(D869*Calculator!$B$8/3600/Calculator!$B$24-0.000000001,0),D869*Calculator!$B$8/3600/Calculator!$B$24))</f>
        <v/>
      </c>
      <c r="F869" s="16">
        <f>IF(A869="","",IF(Calculator!$B$16=1,Calculator!$B$27,A869)*Calculator!$B$5*Calculator!$B$15)</f>
        <v/>
      </c>
      <c r="G869" s="16">
        <f>IF(A869="","",E869*Calculator!$B$6+Calculator!$C$37+F869+Calculator!$B$30)</f>
        <v/>
      </c>
      <c r="H869" s="16">
        <f>IF(A869="","",Calculator!$B$40-G869)</f>
        <v/>
      </c>
      <c r="I869" s="17">
        <f>IF(A869="","",A869*Calculator!$B$5*Calculator!$B$8/3600)</f>
        <v/>
      </c>
      <c r="J869" s="12">
        <f>IF(A869="","",Calculator!$B$35-E869)</f>
        <v/>
      </c>
    </row>
    <row r="870">
      <c r="A870" s="15">
        <f>IF(868/1000&lt;=Calculator!$B$27+0.0000001,868/1000,"")</f>
        <v/>
      </c>
      <c r="B870" s="15">
        <f>IF(A870="","",A870/Calculator!$B$27)</f>
        <v/>
      </c>
      <c r="C870" s="15">
        <f>IF(A870="","",Calculator!$B$27-A870)</f>
        <v/>
      </c>
      <c r="D870" s="17">
        <f>IF(A870="","",(Calculator!$B$11+C870)*Calculator!$B$5)</f>
        <v/>
      </c>
      <c r="E870" s="12">
        <f>IF(A870="","",IF(Calculator!$B$17=1,ROUNDUP(D870*Calculator!$B$8/3600/Calculator!$B$24-0.000000001,0),D870*Calculator!$B$8/3600/Calculator!$B$24))</f>
        <v/>
      </c>
      <c r="F870" s="16">
        <f>IF(A870="","",IF(Calculator!$B$16=1,Calculator!$B$27,A870)*Calculator!$B$5*Calculator!$B$15)</f>
        <v/>
      </c>
      <c r="G870" s="16">
        <f>IF(A870="","",E870*Calculator!$B$6+Calculator!$C$37+F870+Calculator!$B$30)</f>
        <v/>
      </c>
      <c r="H870" s="16">
        <f>IF(A870="","",Calculator!$B$40-G870)</f>
        <v/>
      </c>
      <c r="I870" s="17">
        <f>IF(A870="","",A870*Calculator!$B$5*Calculator!$B$8/3600)</f>
        <v/>
      </c>
      <c r="J870" s="12">
        <f>IF(A870="","",Calculator!$B$35-E870)</f>
        <v/>
      </c>
    </row>
    <row r="871">
      <c r="A871" s="15">
        <f>IF(869/1000&lt;=Calculator!$B$27+0.0000001,869/1000,"")</f>
        <v/>
      </c>
      <c r="B871" s="15">
        <f>IF(A871="","",A871/Calculator!$B$27)</f>
        <v/>
      </c>
      <c r="C871" s="15">
        <f>IF(A871="","",Calculator!$B$27-A871)</f>
        <v/>
      </c>
      <c r="D871" s="17">
        <f>IF(A871="","",(Calculator!$B$11+C871)*Calculator!$B$5)</f>
        <v/>
      </c>
      <c r="E871" s="12">
        <f>IF(A871="","",IF(Calculator!$B$17=1,ROUNDUP(D871*Calculator!$B$8/3600/Calculator!$B$24-0.000000001,0),D871*Calculator!$B$8/3600/Calculator!$B$24))</f>
        <v/>
      </c>
      <c r="F871" s="16">
        <f>IF(A871="","",IF(Calculator!$B$16=1,Calculator!$B$27,A871)*Calculator!$B$5*Calculator!$B$15)</f>
        <v/>
      </c>
      <c r="G871" s="16">
        <f>IF(A871="","",E871*Calculator!$B$6+Calculator!$C$37+F871+Calculator!$B$30)</f>
        <v/>
      </c>
      <c r="H871" s="16">
        <f>IF(A871="","",Calculator!$B$40-G871)</f>
        <v/>
      </c>
      <c r="I871" s="17">
        <f>IF(A871="","",A871*Calculator!$B$5*Calculator!$B$8/3600)</f>
        <v/>
      </c>
      <c r="J871" s="12">
        <f>IF(A871="","",Calculator!$B$35-E871)</f>
        <v/>
      </c>
    </row>
    <row r="872">
      <c r="A872" s="15">
        <f>IF(870/1000&lt;=Calculator!$B$27+0.0000001,870/1000,"")</f>
        <v/>
      </c>
      <c r="B872" s="15">
        <f>IF(A872="","",A872/Calculator!$B$27)</f>
        <v/>
      </c>
      <c r="C872" s="15">
        <f>IF(A872="","",Calculator!$B$27-A872)</f>
        <v/>
      </c>
      <c r="D872" s="17">
        <f>IF(A872="","",(Calculator!$B$11+C872)*Calculator!$B$5)</f>
        <v/>
      </c>
      <c r="E872" s="12">
        <f>IF(A872="","",IF(Calculator!$B$17=1,ROUNDUP(D872*Calculator!$B$8/3600/Calculator!$B$24-0.000000001,0),D872*Calculator!$B$8/3600/Calculator!$B$24))</f>
        <v/>
      </c>
      <c r="F872" s="16">
        <f>IF(A872="","",IF(Calculator!$B$16=1,Calculator!$B$27,A872)*Calculator!$B$5*Calculator!$B$15)</f>
        <v/>
      </c>
      <c r="G872" s="16">
        <f>IF(A872="","",E872*Calculator!$B$6+Calculator!$C$37+F872+Calculator!$B$30)</f>
        <v/>
      </c>
      <c r="H872" s="16">
        <f>IF(A872="","",Calculator!$B$40-G872)</f>
        <v/>
      </c>
      <c r="I872" s="17">
        <f>IF(A872="","",A872*Calculator!$B$5*Calculator!$B$8/3600)</f>
        <v/>
      </c>
      <c r="J872" s="12">
        <f>IF(A872="","",Calculator!$B$35-E872)</f>
        <v/>
      </c>
    </row>
    <row r="873">
      <c r="A873" s="15">
        <f>IF(871/1000&lt;=Calculator!$B$27+0.0000001,871/1000,"")</f>
        <v/>
      </c>
      <c r="B873" s="15">
        <f>IF(A873="","",A873/Calculator!$B$27)</f>
        <v/>
      </c>
      <c r="C873" s="15">
        <f>IF(A873="","",Calculator!$B$27-A873)</f>
        <v/>
      </c>
      <c r="D873" s="17">
        <f>IF(A873="","",(Calculator!$B$11+C873)*Calculator!$B$5)</f>
        <v/>
      </c>
      <c r="E873" s="12">
        <f>IF(A873="","",IF(Calculator!$B$17=1,ROUNDUP(D873*Calculator!$B$8/3600/Calculator!$B$24-0.000000001,0),D873*Calculator!$B$8/3600/Calculator!$B$24))</f>
        <v/>
      </c>
      <c r="F873" s="16">
        <f>IF(A873="","",IF(Calculator!$B$16=1,Calculator!$B$27,A873)*Calculator!$B$5*Calculator!$B$15)</f>
        <v/>
      </c>
      <c r="G873" s="16">
        <f>IF(A873="","",E873*Calculator!$B$6+Calculator!$C$37+F873+Calculator!$B$30)</f>
        <v/>
      </c>
      <c r="H873" s="16">
        <f>IF(A873="","",Calculator!$B$40-G873)</f>
        <v/>
      </c>
      <c r="I873" s="17">
        <f>IF(A873="","",A873*Calculator!$B$5*Calculator!$B$8/3600)</f>
        <v/>
      </c>
      <c r="J873" s="12">
        <f>IF(A873="","",Calculator!$B$35-E873)</f>
        <v/>
      </c>
    </row>
    <row r="874">
      <c r="A874" s="15">
        <f>IF(872/1000&lt;=Calculator!$B$27+0.0000001,872/1000,"")</f>
        <v/>
      </c>
      <c r="B874" s="15">
        <f>IF(A874="","",A874/Calculator!$B$27)</f>
        <v/>
      </c>
      <c r="C874" s="15">
        <f>IF(A874="","",Calculator!$B$27-A874)</f>
        <v/>
      </c>
      <c r="D874" s="17">
        <f>IF(A874="","",(Calculator!$B$11+C874)*Calculator!$B$5)</f>
        <v/>
      </c>
      <c r="E874" s="12">
        <f>IF(A874="","",IF(Calculator!$B$17=1,ROUNDUP(D874*Calculator!$B$8/3600/Calculator!$B$24-0.000000001,0),D874*Calculator!$B$8/3600/Calculator!$B$24))</f>
        <v/>
      </c>
      <c r="F874" s="16">
        <f>IF(A874="","",IF(Calculator!$B$16=1,Calculator!$B$27,A874)*Calculator!$B$5*Calculator!$B$15)</f>
        <v/>
      </c>
      <c r="G874" s="16">
        <f>IF(A874="","",E874*Calculator!$B$6+Calculator!$C$37+F874+Calculator!$B$30)</f>
        <v/>
      </c>
      <c r="H874" s="16">
        <f>IF(A874="","",Calculator!$B$40-G874)</f>
        <v/>
      </c>
      <c r="I874" s="17">
        <f>IF(A874="","",A874*Calculator!$B$5*Calculator!$B$8/3600)</f>
        <v/>
      </c>
      <c r="J874" s="12">
        <f>IF(A874="","",Calculator!$B$35-E874)</f>
        <v/>
      </c>
    </row>
    <row r="875">
      <c r="A875" s="15">
        <f>IF(873/1000&lt;=Calculator!$B$27+0.0000001,873/1000,"")</f>
        <v/>
      </c>
      <c r="B875" s="15">
        <f>IF(A875="","",A875/Calculator!$B$27)</f>
        <v/>
      </c>
      <c r="C875" s="15">
        <f>IF(A875="","",Calculator!$B$27-A875)</f>
        <v/>
      </c>
      <c r="D875" s="17">
        <f>IF(A875="","",(Calculator!$B$11+C875)*Calculator!$B$5)</f>
        <v/>
      </c>
      <c r="E875" s="12">
        <f>IF(A875="","",IF(Calculator!$B$17=1,ROUNDUP(D875*Calculator!$B$8/3600/Calculator!$B$24-0.000000001,0),D875*Calculator!$B$8/3600/Calculator!$B$24))</f>
        <v/>
      </c>
      <c r="F875" s="16">
        <f>IF(A875="","",IF(Calculator!$B$16=1,Calculator!$B$27,A875)*Calculator!$B$5*Calculator!$B$15)</f>
        <v/>
      </c>
      <c r="G875" s="16">
        <f>IF(A875="","",E875*Calculator!$B$6+Calculator!$C$37+F875+Calculator!$B$30)</f>
        <v/>
      </c>
      <c r="H875" s="16">
        <f>IF(A875="","",Calculator!$B$40-G875)</f>
        <v/>
      </c>
      <c r="I875" s="17">
        <f>IF(A875="","",A875*Calculator!$B$5*Calculator!$B$8/3600)</f>
        <v/>
      </c>
      <c r="J875" s="12">
        <f>IF(A875="","",Calculator!$B$35-E875)</f>
        <v/>
      </c>
    </row>
    <row r="876">
      <c r="A876" s="15">
        <f>IF(874/1000&lt;=Calculator!$B$27+0.0000001,874/1000,"")</f>
        <v/>
      </c>
      <c r="B876" s="15">
        <f>IF(A876="","",A876/Calculator!$B$27)</f>
        <v/>
      </c>
      <c r="C876" s="15">
        <f>IF(A876="","",Calculator!$B$27-A876)</f>
        <v/>
      </c>
      <c r="D876" s="17">
        <f>IF(A876="","",(Calculator!$B$11+C876)*Calculator!$B$5)</f>
        <v/>
      </c>
      <c r="E876" s="12">
        <f>IF(A876="","",IF(Calculator!$B$17=1,ROUNDUP(D876*Calculator!$B$8/3600/Calculator!$B$24-0.000000001,0),D876*Calculator!$B$8/3600/Calculator!$B$24))</f>
        <v/>
      </c>
      <c r="F876" s="16">
        <f>IF(A876="","",IF(Calculator!$B$16=1,Calculator!$B$27,A876)*Calculator!$B$5*Calculator!$B$15)</f>
        <v/>
      </c>
      <c r="G876" s="16">
        <f>IF(A876="","",E876*Calculator!$B$6+Calculator!$C$37+F876+Calculator!$B$30)</f>
        <v/>
      </c>
      <c r="H876" s="16">
        <f>IF(A876="","",Calculator!$B$40-G876)</f>
        <v/>
      </c>
      <c r="I876" s="17">
        <f>IF(A876="","",A876*Calculator!$B$5*Calculator!$B$8/3600)</f>
        <v/>
      </c>
      <c r="J876" s="12">
        <f>IF(A876="","",Calculator!$B$35-E876)</f>
        <v/>
      </c>
    </row>
    <row r="877">
      <c r="A877" s="15">
        <f>IF(875/1000&lt;=Calculator!$B$27+0.0000001,875/1000,"")</f>
        <v/>
      </c>
      <c r="B877" s="15">
        <f>IF(A877="","",A877/Calculator!$B$27)</f>
        <v/>
      </c>
      <c r="C877" s="15">
        <f>IF(A877="","",Calculator!$B$27-A877)</f>
        <v/>
      </c>
      <c r="D877" s="17">
        <f>IF(A877="","",(Calculator!$B$11+C877)*Calculator!$B$5)</f>
        <v/>
      </c>
      <c r="E877" s="12">
        <f>IF(A877="","",IF(Calculator!$B$17=1,ROUNDUP(D877*Calculator!$B$8/3600/Calculator!$B$24-0.000000001,0),D877*Calculator!$B$8/3600/Calculator!$B$24))</f>
        <v/>
      </c>
      <c r="F877" s="16">
        <f>IF(A877="","",IF(Calculator!$B$16=1,Calculator!$B$27,A877)*Calculator!$B$5*Calculator!$B$15)</f>
        <v/>
      </c>
      <c r="G877" s="16">
        <f>IF(A877="","",E877*Calculator!$B$6+Calculator!$C$37+F877+Calculator!$B$30)</f>
        <v/>
      </c>
      <c r="H877" s="16">
        <f>IF(A877="","",Calculator!$B$40-G877)</f>
        <v/>
      </c>
      <c r="I877" s="17">
        <f>IF(A877="","",A877*Calculator!$B$5*Calculator!$B$8/3600)</f>
        <v/>
      </c>
      <c r="J877" s="12">
        <f>IF(A877="","",Calculator!$B$35-E877)</f>
        <v/>
      </c>
    </row>
    <row r="878">
      <c r="A878" s="15">
        <f>IF(876/1000&lt;=Calculator!$B$27+0.0000001,876/1000,"")</f>
        <v/>
      </c>
      <c r="B878" s="15">
        <f>IF(A878="","",A878/Calculator!$B$27)</f>
        <v/>
      </c>
      <c r="C878" s="15">
        <f>IF(A878="","",Calculator!$B$27-A878)</f>
        <v/>
      </c>
      <c r="D878" s="17">
        <f>IF(A878="","",(Calculator!$B$11+C878)*Calculator!$B$5)</f>
        <v/>
      </c>
      <c r="E878" s="12">
        <f>IF(A878="","",IF(Calculator!$B$17=1,ROUNDUP(D878*Calculator!$B$8/3600/Calculator!$B$24-0.000000001,0),D878*Calculator!$B$8/3600/Calculator!$B$24))</f>
        <v/>
      </c>
      <c r="F878" s="16">
        <f>IF(A878="","",IF(Calculator!$B$16=1,Calculator!$B$27,A878)*Calculator!$B$5*Calculator!$B$15)</f>
        <v/>
      </c>
      <c r="G878" s="16">
        <f>IF(A878="","",E878*Calculator!$B$6+Calculator!$C$37+F878+Calculator!$B$30)</f>
        <v/>
      </c>
      <c r="H878" s="16">
        <f>IF(A878="","",Calculator!$B$40-G878)</f>
        <v/>
      </c>
      <c r="I878" s="17">
        <f>IF(A878="","",A878*Calculator!$B$5*Calculator!$B$8/3600)</f>
        <v/>
      </c>
      <c r="J878" s="12">
        <f>IF(A878="","",Calculator!$B$35-E878)</f>
        <v/>
      </c>
    </row>
    <row r="879">
      <c r="A879" s="15">
        <f>IF(877/1000&lt;=Calculator!$B$27+0.0000001,877/1000,"")</f>
        <v/>
      </c>
      <c r="B879" s="15">
        <f>IF(A879="","",A879/Calculator!$B$27)</f>
        <v/>
      </c>
      <c r="C879" s="15">
        <f>IF(A879="","",Calculator!$B$27-A879)</f>
        <v/>
      </c>
      <c r="D879" s="17">
        <f>IF(A879="","",(Calculator!$B$11+C879)*Calculator!$B$5)</f>
        <v/>
      </c>
      <c r="E879" s="12">
        <f>IF(A879="","",IF(Calculator!$B$17=1,ROUNDUP(D879*Calculator!$B$8/3600/Calculator!$B$24-0.000000001,0),D879*Calculator!$B$8/3600/Calculator!$B$24))</f>
        <v/>
      </c>
      <c r="F879" s="16">
        <f>IF(A879="","",IF(Calculator!$B$16=1,Calculator!$B$27,A879)*Calculator!$B$5*Calculator!$B$15)</f>
        <v/>
      </c>
      <c r="G879" s="16">
        <f>IF(A879="","",E879*Calculator!$B$6+Calculator!$C$37+F879+Calculator!$B$30)</f>
        <v/>
      </c>
      <c r="H879" s="16">
        <f>IF(A879="","",Calculator!$B$40-G879)</f>
        <v/>
      </c>
      <c r="I879" s="17">
        <f>IF(A879="","",A879*Calculator!$B$5*Calculator!$B$8/3600)</f>
        <v/>
      </c>
      <c r="J879" s="12">
        <f>IF(A879="","",Calculator!$B$35-E879)</f>
        <v/>
      </c>
    </row>
    <row r="880">
      <c r="A880" s="15">
        <f>IF(878/1000&lt;=Calculator!$B$27+0.0000001,878/1000,"")</f>
        <v/>
      </c>
      <c r="B880" s="15">
        <f>IF(A880="","",A880/Calculator!$B$27)</f>
        <v/>
      </c>
      <c r="C880" s="15">
        <f>IF(A880="","",Calculator!$B$27-A880)</f>
        <v/>
      </c>
      <c r="D880" s="17">
        <f>IF(A880="","",(Calculator!$B$11+C880)*Calculator!$B$5)</f>
        <v/>
      </c>
      <c r="E880" s="12">
        <f>IF(A880="","",IF(Calculator!$B$17=1,ROUNDUP(D880*Calculator!$B$8/3600/Calculator!$B$24-0.000000001,0),D880*Calculator!$B$8/3600/Calculator!$B$24))</f>
        <v/>
      </c>
      <c r="F880" s="16">
        <f>IF(A880="","",IF(Calculator!$B$16=1,Calculator!$B$27,A880)*Calculator!$B$5*Calculator!$B$15)</f>
        <v/>
      </c>
      <c r="G880" s="16">
        <f>IF(A880="","",E880*Calculator!$B$6+Calculator!$C$37+F880+Calculator!$B$30)</f>
        <v/>
      </c>
      <c r="H880" s="16">
        <f>IF(A880="","",Calculator!$B$40-G880)</f>
        <v/>
      </c>
      <c r="I880" s="17">
        <f>IF(A880="","",A880*Calculator!$B$5*Calculator!$B$8/3600)</f>
        <v/>
      </c>
      <c r="J880" s="12">
        <f>IF(A880="","",Calculator!$B$35-E880)</f>
        <v/>
      </c>
    </row>
    <row r="881">
      <c r="A881" s="15">
        <f>IF(879/1000&lt;=Calculator!$B$27+0.0000001,879/1000,"")</f>
        <v/>
      </c>
      <c r="B881" s="15">
        <f>IF(A881="","",A881/Calculator!$B$27)</f>
        <v/>
      </c>
      <c r="C881" s="15">
        <f>IF(A881="","",Calculator!$B$27-A881)</f>
        <v/>
      </c>
      <c r="D881" s="17">
        <f>IF(A881="","",(Calculator!$B$11+C881)*Calculator!$B$5)</f>
        <v/>
      </c>
      <c r="E881" s="12">
        <f>IF(A881="","",IF(Calculator!$B$17=1,ROUNDUP(D881*Calculator!$B$8/3600/Calculator!$B$24-0.000000001,0),D881*Calculator!$B$8/3600/Calculator!$B$24))</f>
        <v/>
      </c>
      <c r="F881" s="16">
        <f>IF(A881="","",IF(Calculator!$B$16=1,Calculator!$B$27,A881)*Calculator!$B$5*Calculator!$B$15)</f>
        <v/>
      </c>
      <c r="G881" s="16">
        <f>IF(A881="","",E881*Calculator!$B$6+Calculator!$C$37+F881+Calculator!$B$30)</f>
        <v/>
      </c>
      <c r="H881" s="16">
        <f>IF(A881="","",Calculator!$B$40-G881)</f>
        <v/>
      </c>
      <c r="I881" s="17">
        <f>IF(A881="","",A881*Calculator!$B$5*Calculator!$B$8/3600)</f>
        <v/>
      </c>
      <c r="J881" s="12">
        <f>IF(A881="","",Calculator!$B$35-E881)</f>
        <v/>
      </c>
    </row>
    <row r="882">
      <c r="A882" s="15">
        <f>IF(880/1000&lt;=Calculator!$B$27+0.0000001,880/1000,"")</f>
        <v/>
      </c>
      <c r="B882" s="15">
        <f>IF(A882="","",A882/Calculator!$B$27)</f>
        <v/>
      </c>
      <c r="C882" s="15">
        <f>IF(A882="","",Calculator!$B$27-A882)</f>
        <v/>
      </c>
      <c r="D882" s="17">
        <f>IF(A882="","",(Calculator!$B$11+C882)*Calculator!$B$5)</f>
        <v/>
      </c>
      <c r="E882" s="12">
        <f>IF(A882="","",IF(Calculator!$B$17=1,ROUNDUP(D882*Calculator!$B$8/3600/Calculator!$B$24-0.000000001,0),D882*Calculator!$B$8/3600/Calculator!$B$24))</f>
        <v/>
      </c>
      <c r="F882" s="16">
        <f>IF(A882="","",IF(Calculator!$B$16=1,Calculator!$B$27,A882)*Calculator!$B$5*Calculator!$B$15)</f>
        <v/>
      </c>
      <c r="G882" s="16">
        <f>IF(A882="","",E882*Calculator!$B$6+Calculator!$C$37+F882+Calculator!$B$30)</f>
        <v/>
      </c>
      <c r="H882" s="16">
        <f>IF(A882="","",Calculator!$B$40-G882)</f>
        <v/>
      </c>
      <c r="I882" s="17">
        <f>IF(A882="","",A882*Calculator!$B$5*Calculator!$B$8/3600)</f>
        <v/>
      </c>
      <c r="J882" s="12">
        <f>IF(A882="","",Calculator!$B$35-E882)</f>
        <v/>
      </c>
    </row>
    <row r="883">
      <c r="A883" s="15">
        <f>IF(881/1000&lt;=Calculator!$B$27+0.0000001,881/1000,"")</f>
        <v/>
      </c>
      <c r="B883" s="15">
        <f>IF(A883="","",A883/Calculator!$B$27)</f>
        <v/>
      </c>
      <c r="C883" s="15">
        <f>IF(A883="","",Calculator!$B$27-A883)</f>
        <v/>
      </c>
      <c r="D883" s="17">
        <f>IF(A883="","",(Calculator!$B$11+C883)*Calculator!$B$5)</f>
        <v/>
      </c>
      <c r="E883" s="12">
        <f>IF(A883="","",IF(Calculator!$B$17=1,ROUNDUP(D883*Calculator!$B$8/3600/Calculator!$B$24-0.000000001,0),D883*Calculator!$B$8/3600/Calculator!$B$24))</f>
        <v/>
      </c>
      <c r="F883" s="16">
        <f>IF(A883="","",IF(Calculator!$B$16=1,Calculator!$B$27,A883)*Calculator!$B$5*Calculator!$B$15)</f>
        <v/>
      </c>
      <c r="G883" s="16">
        <f>IF(A883="","",E883*Calculator!$B$6+Calculator!$C$37+F883+Calculator!$B$30)</f>
        <v/>
      </c>
      <c r="H883" s="16">
        <f>IF(A883="","",Calculator!$B$40-G883)</f>
        <v/>
      </c>
      <c r="I883" s="17">
        <f>IF(A883="","",A883*Calculator!$B$5*Calculator!$B$8/3600)</f>
        <v/>
      </c>
      <c r="J883" s="12">
        <f>IF(A883="","",Calculator!$B$35-E883)</f>
        <v/>
      </c>
    </row>
    <row r="884">
      <c r="A884" s="15">
        <f>IF(882/1000&lt;=Calculator!$B$27+0.0000001,882/1000,"")</f>
        <v/>
      </c>
      <c r="B884" s="15">
        <f>IF(A884="","",A884/Calculator!$B$27)</f>
        <v/>
      </c>
      <c r="C884" s="15">
        <f>IF(A884="","",Calculator!$B$27-A884)</f>
        <v/>
      </c>
      <c r="D884" s="17">
        <f>IF(A884="","",(Calculator!$B$11+C884)*Calculator!$B$5)</f>
        <v/>
      </c>
      <c r="E884" s="12">
        <f>IF(A884="","",IF(Calculator!$B$17=1,ROUNDUP(D884*Calculator!$B$8/3600/Calculator!$B$24-0.000000001,0),D884*Calculator!$B$8/3600/Calculator!$B$24))</f>
        <v/>
      </c>
      <c r="F884" s="16">
        <f>IF(A884="","",IF(Calculator!$B$16=1,Calculator!$B$27,A884)*Calculator!$B$5*Calculator!$B$15)</f>
        <v/>
      </c>
      <c r="G884" s="16">
        <f>IF(A884="","",E884*Calculator!$B$6+Calculator!$C$37+F884+Calculator!$B$30)</f>
        <v/>
      </c>
      <c r="H884" s="16">
        <f>IF(A884="","",Calculator!$B$40-G884)</f>
        <v/>
      </c>
      <c r="I884" s="17">
        <f>IF(A884="","",A884*Calculator!$B$5*Calculator!$B$8/3600)</f>
        <v/>
      </c>
      <c r="J884" s="12">
        <f>IF(A884="","",Calculator!$B$35-E884)</f>
        <v/>
      </c>
    </row>
    <row r="885">
      <c r="A885" s="15">
        <f>IF(883/1000&lt;=Calculator!$B$27+0.0000001,883/1000,"")</f>
        <v/>
      </c>
      <c r="B885" s="15">
        <f>IF(A885="","",A885/Calculator!$B$27)</f>
        <v/>
      </c>
      <c r="C885" s="15">
        <f>IF(A885="","",Calculator!$B$27-A885)</f>
        <v/>
      </c>
      <c r="D885" s="17">
        <f>IF(A885="","",(Calculator!$B$11+C885)*Calculator!$B$5)</f>
        <v/>
      </c>
      <c r="E885" s="12">
        <f>IF(A885="","",IF(Calculator!$B$17=1,ROUNDUP(D885*Calculator!$B$8/3600/Calculator!$B$24-0.000000001,0),D885*Calculator!$B$8/3600/Calculator!$B$24))</f>
        <v/>
      </c>
      <c r="F885" s="16">
        <f>IF(A885="","",IF(Calculator!$B$16=1,Calculator!$B$27,A885)*Calculator!$B$5*Calculator!$B$15)</f>
        <v/>
      </c>
      <c r="G885" s="16">
        <f>IF(A885="","",E885*Calculator!$B$6+Calculator!$C$37+F885+Calculator!$B$30)</f>
        <v/>
      </c>
      <c r="H885" s="16">
        <f>IF(A885="","",Calculator!$B$40-G885)</f>
        <v/>
      </c>
      <c r="I885" s="17">
        <f>IF(A885="","",A885*Calculator!$B$5*Calculator!$B$8/3600)</f>
        <v/>
      </c>
      <c r="J885" s="12">
        <f>IF(A885="","",Calculator!$B$35-E885)</f>
        <v/>
      </c>
    </row>
    <row r="886">
      <c r="A886" s="15">
        <f>IF(884/1000&lt;=Calculator!$B$27+0.0000001,884/1000,"")</f>
        <v/>
      </c>
      <c r="B886" s="15">
        <f>IF(A886="","",A886/Calculator!$B$27)</f>
        <v/>
      </c>
      <c r="C886" s="15">
        <f>IF(A886="","",Calculator!$B$27-A886)</f>
        <v/>
      </c>
      <c r="D886" s="17">
        <f>IF(A886="","",(Calculator!$B$11+C886)*Calculator!$B$5)</f>
        <v/>
      </c>
      <c r="E886" s="12">
        <f>IF(A886="","",IF(Calculator!$B$17=1,ROUNDUP(D886*Calculator!$B$8/3600/Calculator!$B$24-0.000000001,0),D886*Calculator!$B$8/3600/Calculator!$B$24))</f>
        <v/>
      </c>
      <c r="F886" s="16">
        <f>IF(A886="","",IF(Calculator!$B$16=1,Calculator!$B$27,A886)*Calculator!$B$5*Calculator!$B$15)</f>
        <v/>
      </c>
      <c r="G886" s="16">
        <f>IF(A886="","",E886*Calculator!$B$6+Calculator!$C$37+F886+Calculator!$B$30)</f>
        <v/>
      </c>
      <c r="H886" s="16">
        <f>IF(A886="","",Calculator!$B$40-G886)</f>
        <v/>
      </c>
      <c r="I886" s="17">
        <f>IF(A886="","",A886*Calculator!$B$5*Calculator!$B$8/3600)</f>
        <v/>
      </c>
      <c r="J886" s="12">
        <f>IF(A886="","",Calculator!$B$35-E886)</f>
        <v/>
      </c>
    </row>
    <row r="887">
      <c r="A887" s="15">
        <f>IF(885/1000&lt;=Calculator!$B$27+0.0000001,885/1000,"")</f>
        <v/>
      </c>
      <c r="B887" s="15">
        <f>IF(A887="","",A887/Calculator!$B$27)</f>
        <v/>
      </c>
      <c r="C887" s="15">
        <f>IF(A887="","",Calculator!$B$27-A887)</f>
        <v/>
      </c>
      <c r="D887" s="17">
        <f>IF(A887="","",(Calculator!$B$11+C887)*Calculator!$B$5)</f>
        <v/>
      </c>
      <c r="E887" s="12">
        <f>IF(A887="","",IF(Calculator!$B$17=1,ROUNDUP(D887*Calculator!$B$8/3600/Calculator!$B$24-0.000000001,0),D887*Calculator!$B$8/3600/Calculator!$B$24))</f>
        <v/>
      </c>
      <c r="F887" s="16">
        <f>IF(A887="","",IF(Calculator!$B$16=1,Calculator!$B$27,A887)*Calculator!$B$5*Calculator!$B$15)</f>
        <v/>
      </c>
      <c r="G887" s="16">
        <f>IF(A887="","",E887*Calculator!$B$6+Calculator!$C$37+F887+Calculator!$B$30)</f>
        <v/>
      </c>
      <c r="H887" s="16">
        <f>IF(A887="","",Calculator!$B$40-G887)</f>
        <v/>
      </c>
      <c r="I887" s="17">
        <f>IF(A887="","",A887*Calculator!$B$5*Calculator!$B$8/3600)</f>
        <v/>
      </c>
      <c r="J887" s="12">
        <f>IF(A887="","",Calculator!$B$35-E887)</f>
        <v/>
      </c>
    </row>
    <row r="888">
      <c r="A888" s="15">
        <f>IF(886/1000&lt;=Calculator!$B$27+0.0000001,886/1000,"")</f>
        <v/>
      </c>
      <c r="B888" s="15">
        <f>IF(A888="","",A888/Calculator!$B$27)</f>
        <v/>
      </c>
      <c r="C888" s="15">
        <f>IF(A888="","",Calculator!$B$27-A888)</f>
        <v/>
      </c>
      <c r="D888" s="17">
        <f>IF(A888="","",(Calculator!$B$11+C888)*Calculator!$B$5)</f>
        <v/>
      </c>
      <c r="E888" s="12">
        <f>IF(A888="","",IF(Calculator!$B$17=1,ROUNDUP(D888*Calculator!$B$8/3600/Calculator!$B$24-0.000000001,0),D888*Calculator!$B$8/3600/Calculator!$B$24))</f>
        <v/>
      </c>
      <c r="F888" s="16">
        <f>IF(A888="","",IF(Calculator!$B$16=1,Calculator!$B$27,A888)*Calculator!$B$5*Calculator!$B$15)</f>
        <v/>
      </c>
      <c r="G888" s="16">
        <f>IF(A888="","",E888*Calculator!$B$6+Calculator!$C$37+F888+Calculator!$B$30)</f>
        <v/>
      </c>
      <c r="H888" s="16">
        <f>IF(A888="","",Calculator!$B$40-G888)</f>
        <v/>
      </c>
      <c r="I888" s="17">
        <f>IF(A888="","",A888*Calculator!$B$5*Calculator!$B$8/3600)</f>
        <v/>
      </c>
      <c r="J888" s="12">
        <f>IF(A888="","",Calculator!$B$35-E888)</f>
        <v/>
      </c>
    </row>
    <row r="889">
      <c r="A889" s="15">
        <f>IF(887/1000&lt;=Calculator!$B$27+0.0000001,887/1000,"")</f>
        <v/>
      </c>
      <c r="B889" s="15">
        <f>IF(A889="","",A889/Calculator!$B$27)</f>
        <v/>
      </c>
      <c r="C889" s="15">
        <f>IF(A889="","",Calculator!$B$27-A889)</f>
        <v/>
      </c>
      <c r="D889" s="17">
        <f>IF(A889="","",(Calculator!$B$11+C889)*Calculator!$B$5)</f>
        <v/>
      </c>
      <c r="E889" s="12">
        <f>IF(A889="","",IF(Calculator!$B$17=1,ROUNDUP(D889*Calculator!$B$8/3600/Calculator!$B$24-0.000000001,0),D889*Calculator!$B$8/3600/Calculator!$B$24))</f>
        <v/>
      </c>
      <c r="F889" s="16">
        <f>IF(A889="","",IF(Calculator!$B$16=1,Calculator!$B$27,A889)*Calculator!$B$5*Calculator!$B$15)</f>
        <v/>
      </c>
      <c r="G889" s="16">
        <f>IF(A889="","",E889*Calculator!$B$6+Calculator!$C$37+F889+Calculator!$B$30)</f>
        <v/>
      </c>
      <c r="H889" s="16">
        <f>IF(A889="","",Calculator!$B$40-G889)</f>
        <v/>
      </c>
      <c r="I889" s="17">
        <f>IF(A889="","",A889*Calculator!$B$5*Calculator!$B$8/3600)</f>
        <v/>
      </c>
      <c r="J889" s="12">
        <f>IF(A889="","",Calculator!$B$35-E889)</f>
        <v/>
      </c>
    </row>
    <row r="890">
      <c r="A890" s="15">
        <f>IF(888/1000&lt;=Calculator!$B$27+0.0000001,888/1000,"")</f>
        <v/>
      </c>
      <c r="B890" s="15">
        <f>IF(A890="","",A890/Calculator!$B$27)</f>
        <v/>
      </c>
      <c r="C890" s="15">
        <f>IF(A890="","",Calculator!$B$27-A890)</f>
        <v/>
      </c>
      <c r="D890" s="17">
        <f>IF(A890="","",(Calculator!$B$11+C890)*Calculator!$B$5)</f>
        <v/>
      </c>
      <c r="E890" s="12">
        <f>IF(A890="","",IF(Calculator!$B$17=1,ROUNDUP(D890*Calculator!$B$8/3600/Calculator!$B$24-0.000000001,0),D890*Calculator!$B$8/3600/Calculator!$B$24))</f>
        <v/>
      </c>
      <c r="F890" s="16">
        <f>IF(A890="","",IF(Calculator!$B$16=1,Calculator!$B$27,A890)*Calculator!$B$5*Calculator!$B$15)</f>
        <v/>
      </c>
      <c r="G890" s="16">
        <f>IF(A890="","",E890*Calculator!$B$6+Calculator!$C$37+F890+Calculator!$B$30)</f>
        <v/>
      </c>
      <c r="H890" s="16">
        <f>IF(A890="","",Calculator!$B$40-G890)</f>
        <v/>
      </c>
      <c r="I890" s="17">
        <f>IF(A890="","",A890*Calculator!$B$5*Calculator!$B$8/3600)</f>
        <v/>
      </c>
      <c r="J890" s="12">
        <f>IF(A890="","",Calculator!$B$35-E890)</f>
        <v/>
      </c>
    </row>
    <row r="891">
      <c r="A891" s="15">
        <f>IF(889/1000&lt;=Calculator!$B$27+0.0000001,889/1000,"")</f>
        <v/>
      </c>
      <c r="B891" s="15">
        <f>IF(A891="","",A891/Calculator!$B$27)</f>
        <v/>
      </c>
      <c r="C891" s="15">
        <f>IF(A891="","",Calculator!$B$27-A891)</f>
        <v/>
      </c>
      <c r="D891" s="17">
        <f>IF(A891="","",(Calculator!$B$11+C891)*Calculator!$B$5)</f>
        <v/>
      </c>
      <c r="E891" s="12">
        <f>IF(A891="","",IF(Calculator!$B$17=1,ROUNDUP(D891*Calculator!$B$8/3600/Calculator!$B$24-0.000000001,0),D891*Calculator!$B$8/3600/Calculator!$B$24))</f>
        <v/>
      </c>
      <c r="F891" s="16">
        <f>IF(A891="","",IF(Calculator!$B$16=1,Calculator!$B$27,A891)*Calculator!$B$5*Calculator!$B$15)</f>
        <v/>
      </c>
      <c r="G891" s="16">
        <f>IF(A891="","",E891*Calculator!$B$6+Calculator!$C$37+F891+Calculator!$B$30)</f>
        <v/>
      </c>
      <c r="H891" s="16">
        <f>IF(A891="","",Calculator!$B$40-G891)</f>
        <v/>
      </c>
      <c r="I891" s="17">
        <f>IF(A891="","",A891*Calculator!$B$5*Calculator!$B$8/3600)</f>
        <v/>
      </c>
      <c r="J891" s="12">
        <f>IF(A891="","",Calculator!$B$35-E891)</f>
        <v/>
      </c>
    </row>
    <row r="892">
      <c r="A892" s="15">
        <f>IF(890/1000&lt;=Calculator!$B$27+0.0000001,890/1000,"")</f>
        <v/>
      </c>
      <c r="B892" s="15">
        <f>IF(A892="","",A892/Calculator!$B$27)</f>
        <v/>
      </c>
      <c r="C892" s="15">
        <f>IF(A892="","",Calculator!$B$27-A892)</f>
        <v/>
      </c>
      <c r="D892" s="17">
        <f>IF(A892="","",(Calculator!$B$11+C892)*Calculator!$B$5)</f>
        <v/>
      </c>
      <c r="E892" s="12">
        <f>IF(A892="","",IF(Calculator!$B$17=1,ROUNDUP(D892*Calculator!$B$8/3600/Calculator!$B$24-0.000000001,0),D892*Calculator!$B$8/3600/Calculator!$B$24))</f>
        <v/>
      </c>
      <c r="F892" s="16">
        <f>IF(A892="","",IF(Calculator!$B$16=1,Calculator!$B$27,A892)*Calculator!$B$5*Calculator!$B$15)</f>
        <v/>
      </c>
      <c r="G892" s="16">
        <f>IF(A892="","",E892*Calculator!$B$6+Calculator!$C$37+F892+Calculator!$B$30)</f>
        <v/>
      </c>
      <c r="H892" s="16">
        <f>IF(A892="","",Calculator!$B$40-G892)</f>
        <v/>
      </c>
      <c r="I892" s="17">
        <f>IF(A892="","",A892*Calculator!$B$5*Calculator!$B$8/3600)</f>
        <v/>
      </c>
      <c r="J892" s="12">
        <f>IF(A892="","",Calculator!$B$35-E892)</f>
        <v/>
      </c>
    </row>
    <row r="893">
      <c r="A893" s="15">
        <f>IF(891/1000&lt;=Calculator!$B$27+0.0000001,891/1000,"")</f>
        <v/>
      </c>
      <c r="B893" s="15">
        <f>IF(A893="","",A893/Calculator!$B$27)</f>
        <v/>
      </c>
      <c r="C893" s="15">
        <f>IF(A893="","",Calculator!$B$27-A893)</f>
        <v/>
      </c>
      <c r="D893" s="17">
        <f>IF(A893="","",(Calculator!$B$11+C893)*Calculator!$B$5)</f>
        <v/>
      </c>
      <c r="E893" s="12">
        <f>IF(A893="","",IF(Calculator!$B$17=1,ROUNDUP(D893*Calculator!$B$8/3600/Calculator!$B$24-0.000000001,0),D893*Calculator!$B$8/3600/Calculator!$B$24))</f>
        <v/>
      </c>
      <c r="F893" s="16">
        <f>IF(A893="","",IF(Calculator!$B$16=1,Calculator!$B$27,A893)*Calculator!$B$5*Calculator!$B$15)</f>
        <v/>
      </c>
      <c r="G893" s="16">
        <f>IF(A893="","",E893*Calculator!$B$6+Calculator!$C$37+F893+Calculator!$B$30)</f>
        <v/>
      </c>
      <c r="H893" s="16">
        <f>IF(A893="","",Calculator!$B$40-G893)</f>
        <v/>
      </c>
      <c r="I893" s="17">
        <f>IF(A893="","",A893*Calculator!$B$5*Calculator!$B$8/3600)</f>
        <v/>
      </c>
      <c r="J893" s="12">
        <f>IF(A893="","",Calculator!$B$35-E893)</f>
        <v/>
      </c>
    </row>
    <row r="894">
      <c r="A894" s="15">
        <f>IF(892/1000&lt;=Calculator!$B$27+0.0000001,892/1000,"")</f>
        <v/>
      </c>
      <c r="B894" s="15">
        <f>IF(A894="","",A894/Calculator!$B$27)</f>
        <v/>
      </c>
      <c r="C894" s="15">
        <f>IF(A894="","",Calculator!$B$27-A894)</f>
        <v/>
      </c>
      <c r="D894" s="17">
        <f>IF(A894="","",(Calculator!$B$11+C894)*Calculator!$B$5)</f>
        <v/>
      </c>
      <c r="E894" s="12">
        <f>IF(A894="","",IF(Calculator!$B$17=1,ROUNDUP(D894*Calculator!$B$8/3600/Calculator!$B$24-0.000000001,0),D894*Calculator!$B$8/3600/Calculator!$B$24))</f>
        <v/>
      </c>
      <c r="F894" s="16">
        <f>IF(A894="","",IF(Calculator!$B$16=1,Calculator!$B$27,A894)*Calculator!$B$5*Calculator!$B$15)</f>
        <v/>
      </c>
      <c r="G894" s="16">
        <f>IF(A894="","",E894*Calculator!$B$6+Calculator!$C$37+F894+Calculator!$B$30)</f>
        <v/>
      </c>
      <c r="H894" s="16">
        <f>IF(A894="","",Calculator!$B$40-G894)</f>
        <v/>
      </c>
      <c r="I894" s="17">
        <f>IF(A894="","",A894*Calculator!$B$5*Calculator!$B$8/3600)</f>
        <v/>
      </c>
      <c r="J894" s="12">
        <f>IF(A894="","",Calculator!$B$35-E894)</f>
        <v/>
      </c>
    </row>
    <row r="895">
      <c r="A895" s="15">
        <f>IF(893/1000&lt;=Calculator!$B$27+0.0000001,893/1000,"")</f>
        <v/>
      </c>
      <c r="B895" s="15">
        <f>IF(A895="","",A895/Calculator!$B$27)</f>
        <v/>
      </c>
      <c r="C895" s="15">
        <f>IF(A895="","",Calculator!$B$27-A895)</f>
        <v/>
      </c>
      <c r="D895" s="17">
        <f>IF(A895="","",(Calculator!$B$11+C895)*Calculator!$B$5)</f>
        <v/>
      </c>
      <c r="E895" s="12">
        <f>IF(A895="","",IF(Calculator!$B$17=1,ROUNDUP(D895*Calculator!$B$8/3600/Calculator!$B$24-0.000000001,0),D895*Calculator!$B$8/3600/Calculator!$B$24))</f>
        <v/>
      </c>
      <c r="F895" s="16">
        <f>IF(A895="","",IF(Calculator!$B$16=1,Calculator!$B$27,A895)*Calculator!$B$5*Calculator!$B$15)</f>
        <v/>
      </c>
      <c r="G895" s="16">
        <f>IF(A895="","",E895*Calculator!$B$6+Calculator!$C$37+F895+Calculator!$B$30)</f>
        <v/>
      </c>
      <c r="H895" s="16">
        <f>IF(A895="","",Calculator!$B$40-G895)</f>
        <v/>
      </c>
      <c r="I895" s="17">
        <f>IF(A895="","",A895*Calculator!$B$5*Calculator!$B$8/3600)</f>
        <v/>
      </c>
      <c r="J895" s="12">
        <f>IF(A895="","",Calculator!$B$35-E895)</f>
        <v/>
      </c>
    </row>
    <row r="896">
      <c r="A896" s="15">
        <f>IF(894/1000&lt;=Calculator!$B$27+0.0000001,894/1000,"")</f>
        <v/>
      </c>
      <c r="B896" s="15">
        <f>IF(A896="","",A896/Calculator!$B$27)</f>
        <v/>
      </c>
      <c r="C896" s="15">
        <f>IF(A896="","",Calculator!$B$27-A896)</f>
        <v/>
      </c>
      <c r="D896" s="17">
        <f>IF(A896="","",(Calculator!$B$11+C896)*Calculator!$B$5)</f>
        <v/>
      </c>
      <c r="E896" s="12">
        <f>IF(A896="","",IF(Calculator!$B$17=1,ROUNDUP(D896*Calculator!$B$8/3600/Calculator!$B$24-0.000000001,0),D896*Calculator!$B$8/3600/Calculator!$B$24))</f>
        <v/>
      </c>
      <c r="F896" s="16">
        <f>IF(A896="","",IF(Calculator!$B$16=1,Calculator!$B$27,A896)*Calculator!$B$5*Calculator!$B$15)</f>
        <v/>
      </c>
      <c r="G896" s="16">
        <f>IF(A896="","",E896*Calculator!$B$6+Calculator!$C$37+F896+Calculator!$B$30)</f>
        <v/>
      </c>
      <c r="H896" s="16">
        <f>IF(A896="","",Calculator!$B$40-G896)</f>
        <v/>
      </c>
      <c r="I896" s="17">
        <f>IF(A896="","",A896*Calculator!$B$5*Calculator!$B$8/3600)</f>
        <v/>
      </c>
      <c r="J896" s="12">
        <f>IF(A896="","",Calculator!$B$35-E896)</f>
        <v/>
      </c>
    </row>
    <row r="897">
      <c r="A897" s="15">
        <f>IF(895/1000&lt;=Calculator!$B$27+0.0000001,895/1000,"")</f>
        <v/>
      </c>
      <c r="B897" s="15">
        <f>IF(A897="","",A897/Calculator!$B$27)</f>
        <v/>
      </c>
      <c r="C897" s="15">
        <f>IF(A897="","",Calculator!$B$27-A897)</f>
        <v/>
      </c>
      <c r="D897" s="17">
        <f>IF(A897="","",(Calculator!$B$11+C897)*Calculator!$B$5)</f>
        <v/>
      </c>
      <c r="E897" s="12">
        <f>IF(A897="","",IF(Calculator!$B$17=1,ROUNDUP(D897*Calculator!$B$8/3600/Calculator!$B$24-0.000000001,0),D897*Calculator!$B$8/3600/Calculator!$B$24))</f>
        <v/>
      </c>
      <c r="F897" s="16">
        <f>IF(A897="","",IF(Calculator!$B$16=1,Calculator!$B$27,A897)*Calculator!$B$5*Calculator!$B$15)</f>
        <v/>
      </c>
      <c r="G897" s="16">
        <f>IF(A897="","",E897*Calculator!$B$6+Calculator!$C$37+F897+Calculator!$B$30)</f>
        <v/>
      </c>
      <c r="H897" s="16">
        <f>IF(A897="","",Calculator!$B$40-G897)</f>
        <v/>
      </c>
      <c r="I897" s="17">
        <f>IF(A897="","",A897*Calculator!$B$5*Calculator!$B$8/3600)</f>
        <v/>
      </c>
      <c r="J897" s="12">
        <f>IF(A897="","",Calculator!$B$35-E897)</f>
        <v/>
      </c>
    </row>
    <row r="898">
      <c r="A898" s="15">
        <f>IF(896/1000&lt;=Calculator!$B$27+0.0000001,896/1000,"")</f>
        <v/>
      </c>
      <c r="B898" s="15">
        <f>IF(A898="","",A898/Calculator!$B$27)</f>
        <v/>
      </c>
      <c r="C898" s="15">
        <f>IF(A898="","",Calculator!$B$27-A898)</f>
        <v/>
      </c>
      <c r="D898" s="17">
        <f>IF(A898="","",(Calculator!$B$11+C898)*Calculator!$B$5)</f>
        <v/>
      </c>
      <c r="E898" s="12">
        <f>IF(A898="","",IF(Calculator!$B$17=1,ROUNDUP(D898*Calculator!$B$8/3600/Calculator!$B$24-0.000000001,0),D898*Calculator!$B$8/3600/Calculator!$B$24))</f>
        <v/>
      </c>
      <c r="F898" s="16">
        <f>IF(A898="","",IF(Calculator!$B$16=1,Calculator!$B$27,A898)*Calculator!$B$5*Calculator!$B$15)</f>
        <v/>
      </c>
      <c r="G898" s="16">
        <f>IF(A898="","",E898*Calculator!$B$6+Calculator!$C$37+F898+Calculator!$B$30)</f>
        <v/>
      </c>
      <c r="H898" s="16">
        <f>IF(A898="","",Calculator!$B$40-G898)</f>
        <v/>
      </c>
      <c r="I898" s="17">
        <f>IF(A898="","",A898*Calculator!$B$5*Calculator!$B$8/3600)</f>
        <v/>
      </c>
      <c r="J898" s="12">
        <f>IF(A898="","",Calculator!$B$35-E898)</f>
        <v/>
      </c>
    </row>
    <row r="899">
      <c r="A899" s="15">
        <f>IF(897/1000&lt;=Calculator!$B$27+0.0000001,897/1000,"")</f>
        <v/>
      </c>
      <c r="B899" s="15">
        <f>IF(A899="","",A899/Calculator!$B$27)</f>
        <v/>
      </c>
      <c r="C899" s="15">
        <f>IF(A899="","",Calculator!$B$27-A899)</f>
        <v/>
      </c>
      <c r="D899" s="17">
        <f>IF(A899="","",(Calculator!$B$11+C899)*Calculator!$B$5)</f>
        <v/>
      </c>
      <c r="E899" s="12">
        <f>IF(A899="","",IF(Calculator!$B$17=1,ROUNDUP(D899*Calculator!$B$8/3600/Calculator!$B$24-0.000000001,0),D899*Calculator!$B$8/3600/Calculator!$B$24))</f>
        <v/>
      </c>
      <c r="F899" s="16">
        <f>IF(A899="","",IF(Calculator!$B$16=1,Calculator!$B$27,A899)*Calculator!$B$5*Calculator!$B$15)</f>
        <v/>
      </c>
      <c r="G899" s="16">
        <f>IF(A899="","",E899*Calculator!$B$6+Calculator!$C$37+F899+Calculator!$B$30)</f>
        <v/>
      </c>
      <c r="H899" s="16">
        <f>IF(A899="","",Calculator!$B$40-G899)</f>
        <v/>
      </c>
      <c r="I899" s="17">
        <f>IF(A899="","",A899*Calculator!$B$5*Calculator!$B$8/3600)</f>
        <v/>
      </c>
      <c r="J899" s="12">
        <f>IF(A899="","",Calculator!$B$35-E899)</f>
        <v/>
      </c>
    </row>
    <row r="900">
      <c r="A900" s="15">
        <f>IF(898/1000&lt;=Calculator!$B$27+0.0000001,898/1000,"")</f>
        <v/>
      </c>
      <c r="B900" s="15">
        <f>IF(A900="","",A900/Calculator!$B$27)</f>
        <v/>
      </c>
      <c r="C900" s="15">
        <f>IF(A900="","",Calculator!$B$27-A900)</f>
        <v/>
      </c>
      <c r="D900" s="17">
        <f>IF(A900="","",(Calculator!$B$11+C900)*Calculator!$B$5)</f>
        <v/>
      </c>
      <c r="E900" s="12">
        <f>IF(A900="","",IF(Calculator!$B$17=1,ROUNDUP(D900*Calculator!$B$8/3600/Calculator!$B$24-0.000000001,0),D900*Calculator!$B$8/3600/Calculator!$B$24))</f>
        <v/>
      </c>
      <c r="F900" s="16">
        <f>IF(A900="","",IF(Calculator!$B$16=1,Calculator!$B$27,A900)*Calculator!$B$5*Calculator!$B$15)</f>
        <v/>
      </c>
      <c r="G900" s="16">
        <f>IF(A900="","",E900*Calculator!$B$6+Calculator!$C$37+F900+Calculator!$B$30)</f>
        <v/>
      </c>
      <c r="H900" s="16">
        <f>IF(A900="","",Calculator!$B$40-G900)</f>
        <v/>
      </c>
      <c r="I900" s="17">
        <f>IF(A900="","",A900*Calculator!$B$5*Calculator!$B$8/3600)</f>
        <v/>
      </c>
      <c r="J900" s="12">
        <f>IF(A900="","",Calculator!$B$35-E900)</f>
        <v/>
      </c>
    </row>
    <row r="901">
      <c r="A901" s="15">
        <f>IF(899/1000&lt;=Calculator!$B$27+0.0000001,899/1000,"")</f>
        <v/>
      </c>
      <c r="B901" s="15">
        <f>IF(A901="","",A901/Calculator!$B$27)</f>
        <v/>
      </c>
      <c r="C901" s="15">
        <f>IF(A901="","",Calculator!$B$27-A901)</f>
        <v/>
      </c>
      <c r="D901" s="17">
        <f>IF(A901="","",(Calculator!$B$11+C901)*Calculator!$B$5)</f>
        <v/>
      </c>
      <c r="E901" s="12">
        <f>IF(A901="","",IF(Calculator!$B$17=1,ROUNDUP(D901*Calculator!$B$8/3600/Calculator!$B$24-0.000000001,0),D901*Calculator!$B$8/3600/Calculator!$B$24))</f>
        <v/>
      </c>
      <c r="F901" s="16">
        <f>IF(A901="","",IF(Calculator!$B$16=1,Calculator!$B$27,A901)*Calculator!$B$5*Calculator!$B$15)</f>
        <v/>
      </c>
      <c r="G901" s="16">
        <f>IF(A901="","",E901*Calculator!$B$6+Calculator!$C$37+F901+Calculator!$B$30)</f>
        <v/>
      </c>
      <c r="H901" s="16">
        <f>IF(A901="","",Calculator!$B$40-G901)</f>
        <v/>
      </c>
      <c r="I901" s="17">
        <f>IF(A901="","",A901*Calculator!$B$5*Calculator!$B$8/3600)</f>
        <v/>
      </c>
      <c r="J901" s="12">
        <f>IF(A901="","",Calculator!$B$35-E901)</f>
        <v/>
      </c>
    </row>
    <row r="902">
      <c r="A902" s="15">
        <f>IF(900/1000&lt;=Calculator!$B$27+0.0000001,900/1000,"")</f>
        <v/>
      </c>
      <c r="B902" s="15">
        <f>IF(A902="","",A902/Calculator!$B$27)</f>
        <v/>
      </c>
      <c r="C902" s="15">
        <f>IF(A902="","",Calculator!$B$27-A902)</f>
        <v/>
      </c>
      <c r="D902" s="17">
        <f>IF(A902="","",(Calculator!$B$11+C902)*Calculator!$B$5)</f>
        <v/>
      </c>
      <c r="E902" s="12">
        <f>IF(A902="","",IF(Calculator!$B$17=1,ROUNDUP(D902*Calculator!$B$8/3600/Calculator!$B$24-0.000000001,0),D902*Calculator!$B$8/3600/Calculator!$B$24))</f>
        <v/>
      </c>
      <c r="F902" s="16">
        <f>IF(A902="","",IF(Calculator!$B$16=1,Calculator!$B$27,A902)*Calculator!$B$5*Calculator!$B$15)</f>
        <v/>
      </c>
      <c r="G902" s="16">
        <f>IF(A902="","",E902*Calculator!$B$6+Calculator!$C$37+F902+Calculator!$B$30)</f>
        <v/>
      </c>
      <c r="H902" s="16">
        <f>IF(A902="","",Calculator!$B$40-G902)</f>
        <v/>
      </c>
      <c r="I902" s="17">
        <f>IF(A902="","",A902*Calculator!$B$5*Calculator!$B$8/3600)</f>
        <v/>
      </c>
      <c r="J902" s="12">
        <f>IF(A902="","",Calculator!$B$35-E902)</f>
        <v/>
      </c>
    </row>
    <row r="903">
      <c r="A903" s="15">
        <f>IF(901/1000&lt;=Calculator!$B$27+0.0000001,901/1000,"")</f>
        <v/>
      </c>
      <c r="B903" s="15">
        <f>IF(A903="","",A903/Calculator!$B$27)</f>
        <v/>
      </c>
      <c r="C903" s="15">
        <f>IF(A903="","",Calculator!$B$27-A903)</f>
        <v/>
      </c>
      <c r="D903" s="17">
        <f>IF(A903="","",(Calculator!$B$11+C903)*Calculator!$B$5)</f>
        <v/>
      </c>
      <c r="E903" s="12">
        <f>IF(A903="","",IF(Calculator!$B$17=1,ROUNDUP(D903*Calculator!$B$8/3600/Calculator!$B$24-0.000000001,0),D903*Calculator!$B$8/3600/Calculator!$B$24))</f>
        <v/>
      </c>
      <c r="F903" s="16">
        <f>IF(A903="","",IF(Calculator!$B$16=1,Calculator!$B$27,A903)*Calculator!$B$5*Calculator!$B$15)</f>
        <v/>
      </c>
      <c r="G903" s="16">
        <f>IF(A903="","",E903*Calculator!$B$6+Calculator!$C$37+F903+Calculator!$B$30)</f>
        <v/>
      </c>
      <c r="H903" s="16">
        <f>IF(A903="","",Calculator!$B$40-G903)</f>
        <v/>
      </c>
      <c r="I903" s="17">
        <f>IF(A903="","",A903*Calculator!$B$5*Calculator!$B$8/3600)</f>
        <v/>
      </c>
      <c r="J903" s="12">
        <f>IF(A903="","",Calculator!$B$35-E903)</f>
        <v/>
      </c>
    </row>
    <row r="904">
      <c r="A904" s="15">
        <f>IF(902/1000&lt;=Calculator!$B$27+0.0000001,902/1000,"")</f>
        <v/>
      </c>
      <c r="B904" s="15">
        <f>IF(A904="","",A904/Calculator!$B$27)</f>
        <v/>
      </c>
      <c r="C904" s="15">
        <f>IF(A904="","",Calculator!$B$27-A904)</f>
        <v/>
      </c>
      <c r="D904" s="17">
        <f>IF(A904="","",(Calculator!$B$11+C904)*Calculator!$B$5)</f>
        <v/>
      </c>
      <c r="E904" s="12">
        <f>IF(A904="","",IF(Calculator!$B$17=1,ROUNDUP(D904*Calculator!$B$8/3600/Calculator!$B$24-0.000000001,0),D904*Calculator!$B$8/3600/Calculator!$B$24))</f>
        <v/>
      </c>
      <c r="F904" s="16">
        <f>IF(A904="","",IF(Calculator!$B$16=1,Calculator!$B$27,A904)*Calculator!$B$5*Calculator!$B$15)</f>
        <v/>
      </c>
      <c r="G904" s="16">
        <f>IF(A904="","",E904*Calculator!$B$6+Calculator!$C$37+F904+Calculator!$B$30)</f>
        <v/>
      </c>
      <c r="H904" s="16">
        <f>IF(A904="","",Calculator!$B$40-G904)</f>
        <v/>
      </c>
      <c r="I904" s="17">
        <f>IF(A904="","",A904*Calculator!$B$5*Calculator!$B$8/3600)</f>
        <v/>
      </c>
      <c r="J904" s="12">
        <f>IF(A904="","",Calculator!$B$35-E904)</f>
        <v/>
      </c>
    </row>
    <row r="905">
      <c r="A905" s="15">
        <f>IF(903/1000&lt;=Calculator!$B$27+0.0000001,903/1000,"")</f>
        <v/>
      </c>
      <c r="B905" s="15">
        <f>IF(A905="","",A905/Calculator!$B$27)</f>
        <v/>
      </c>
      <c r="C905" s="15">
        <f>IF(A905="","",Calculator!$B$27-A905)</f>
        <v/>
      </c>
      <c r="D905" s="17">
        <f>IF(A905="","",(Calculator!$B$11+C905)*Calculator!$B$5)</f>
        <v/>
      </c>
      <c r="E905" s="12">
        <f>IF(A905="","",IF(Calculator!$B$17=1,ROUNDUP(D905*Calculator!$B$8/3600/Calculator!$B$24-0.000000001,0),D905*Calculator!$B$8/3600/Calculator!$B$24))</f>
        <v/>
      </c>
      <c r="F905" s="16">
        <f>IF(A905="","",IF(Calculator!$B$16=1,Calculator!$B$27,A905)*Calculator!$B$5*Calculator!$B$15)</f>
        <v/>
      </c>
      <c r="G905" s="16">
        <f>IF(A905="","",E905*Calculator!$B$6+Calculator!$C$37+F905+Calculator!$B$30)</f>
        <v/>
      </c>
      <c r="H905" s="16">
        <f>IF(A905="","",Calculator!$B$40-G905)</f>
        <v/>
      </c>
      <c r="I905" s="17">
        <f>IF(A905="","",A905*Calculator!$B$5*Calculator!$B$8/3600)</f>
        <v/>
      </c>
      <c r="J905" s="12">
        <f>IF(A905="","",Calculator!$B$35-E905)</f>
        <v/>
      </c>
    </row>
    <row r="906">
      <c r="A906" s="15">
        <f>IF(904/1000&lt;=Calculator!$B$27+0.0000001,904/1000,"")</f>
        <v/>
      </c>
      <c r="B906" s="15">
        <f>IF(A906="","",A906/Calculator!$B$27)</f>
        <v/>
      </c>
      <c r="C906" s="15">
        <f>IF(A906="","",Calculator!$B$27-A906)</f>
        <v/>
      </c>
      <c r="D906" s="17">
        <f>IF(A906="","",(Calculator!$B$11+C906)*Calculator!$B$5)</f>
        <v/>
      </c>
      <c r="E906" s="12">
        <f>IF(A906="","",IF(Calculator!$B$17=1,ROUNDUP(D906*Calculator!$B$8/3600/Calculator!$B$24-0.000000001,0),D906*Calculator!$B$8/3600/Calculator!$B$24))</f>
        <v/>
      </c>
      <c r="F906" s="16">
        <f>IF(A906="","",IF(Calculator!$B$16=1,Calculator!$B$27,A906)*Calculator!$B$5*Calculator!$B$15)</f>
        <v/>
      </c>
      <c r="G906" s="16">
        <f>IF(A906="","",E906*Calculator!$B$6+Calculator!$C$37+F906+Calculator!$B$30)</f>
        <v/>
      </c>
      <c r="H906" s="16">
        <f>IF(A906="","",Calculator!$B$40-G906)</f>
        <v/>
      </c>
      <c r="I906" s="17">
        <f>IF(A906="","",A906*Calculator!$B$5*Calculator!$B$8/3600)</f>
        <v/>
      </c>
      <c r="J906" s="12">
        <f>IF(A906="","",Calculator!$B$35-E906)</f>
        <v/>
      </c>
    </row>
    <row r="907">
      <c r="A907" s="15">
        <f>IF(905/1000&lt;=Calculator!$B$27+0.0000001,905/1000,"")</f>
        <v/>
      </c>
      <c r="B907" s="15">
        <f>IF(A907="","",A907/Calculator!$B$27)</f>
        <v/>
      </c>
      <c r="C907" s="15">
        <f>IF(A907="","",Calculator!$B$27-A907)</f>
        <v/>
      </c>
      <c r="D907" s="17">
        <f>IF(A907="","",(Calculator!$B$11+C907)*Calculator!$B$5)</f>
        <v/>
      </c>
      <c r="E907" s="12">
        <f>IF(A907="","",IF(Calculator!$B$17=1,ROUNDUP(D907*Calculator!$B$8/3600/Calculator!$B$24-0.000000001,0),D907*Calculator!$B$8/3600/Calculator!$B$24))</f>
        <v/>
      </c>
      <c r="F907" s="16">
        <f>IF(A907="","",IF(Calculator!$B$16=1,Calculator!$B$27,A907)*Calculator!$B$5*Calculator!$B$15)</f>
        <v/>
      </c>
      <c r="G907" s="16">
        <f>IF(A907="","",E907*Calculator!$B$6+Calculator!$C$37+F907+Calculator!$B$30)</f>
        <v/>
      </c>
      <c r="H907" s="16">
        <f>IF(A907="","",Calculator!$B$40-G907)</f>
        <v/>
      </c>
      <c r="I907" s="17">
        <f>IF(A907="","",A907*Calculator!$B$5*Calculator!$B$8/3600)</f>
        <v/>
      </c>
      <c r="J907" s="12">
        <f>IF(A907="","",Calculator!$B$35-E907)</f>
        <v/>
      </c>
    </row>
    <row r="908">
      <c r="A908" s="15">
        <f>IF(906/1000&lt;=Calculator!$B$27+0.0000001,906/1000,"")</f>
        <v/>
      </c>
      <c r="B908" s="15">
        <f>IF(A908="","",A908/Calculator!$B$27)</f>
        <v/>
      </c>
      <c r="C908" s="15">
        <f>IF(A908="","",Calculator!$B$27-A908)</f>
        <v/>
      </c>
      <c r="D908" s="17">
        <f>IF(A908="","",(Calculator!$B$11+C908)*Calculator!$B$5)</f>
        <v/>
      </c>
      <c r="E908" s="12">
        <f>IF(A908="","",IF(Calculator!$B$17=1,ROUNDUP(D908*Calculator!$B$8/3600/Calculator!$B$24-0.000000001,0),D908*Calculator!$B$8/3600/Calculator!$B$24))</f>
        <v/>
      </c>
      <c r="F908" s="16">
        <f>IF(A908="","",IF(Calculator!$B$16=1,Calculator!$B$27,A908)*Calculator!$B$5*Calculator!$B$15)</f>
        <v/>
      </c>
      <c r="G908" s="16">
        <f>IF(A908="","",E908*Calculator!$B$6+Calculator!$C$37+F908+Calculator!$B$30)</f>
        <v/>
      </c>
      <c r="H908" s="16">
        <f>IF(A908="","",Calculator!$B$40-G908)</f>
        <v/>
      </c>
      <c r="I908" s="17">
        <f>IF(A908="","",A908*Calculator!$B$5*Calculator!$B$8/3600)</f>
        <v/>
      </c>
      <c r="J908" s="12">
        <f>IF(A908="","",Calculator!$B$35-E908)</f>
        <v/>
      </c>
    </row>
    <row r="909">
      <c r="A909" s="15">
        <f>IF(907/1000&lt;=Calculator!$B$27+0.0000001,907/1000,"")</f>
        <v/>
      </c>
      <c r="B909" s="15">
        <f>IF(A909="","",A909/Calculator!$B$27)</f>
        <v/>
      </c>
      <c r="C909" s="15">
        <f>IF(A909="","",Calculator!$B$27-A909)</f>
        <v/>
      </c>
      <c r="D909" s="17">
        <f>IF(A909="","",(Calculator!$B$11+C909)*Calculator!$B$5)</f>
        <v/>
      </c>
      <c r="E909" s="12">
        <f>IF(A909="","",IF(Calculator!$B$17=1,ROUNDUP(D909*Calculator!$B$8/3600/Calculator!$B$24-0.000000001,0),D909*Calculator!$B$8/3600/Calculator!$B$24))</f>
        <v/>
      </c>
      <c r="F909" s="16">
        <f>IF(A909="","",IF(Calculator!$B$16=1,Calculator!$B$27,A909)*Calculator!$B$5*Calculator!$B$15)</f>
        <v/>
      </c>
      <c r="G909" s="16">
        <f>IF(A909="","",E909*Calculator!$B$6+Calculator!$C$37+F909+Calculator!$B$30)</f>
        <v/>
      </c>
      <c r="H909" s="16">
        <f>IF(A909="","",Calculator!$B$40-G909)</f>
        <v/>
      </c>
      <c r="I909" s="17">
        <f>IF(A909="","",A909*Calculator!$B$5*Calculator!$B$8/3600)</f>
        <v/>
      </c>
      <c r="J909" s="12">
        <f>IF(A909="","",Calculator!$B$35-E909)</f>
        <v/>
      </c>
    </row>
    <row r="910">
      <c r="A910" s="15">
        <f>IF(908/1000&lt;=Calculator!$B$27+0.0000001,908/1000,"")</f>
        <v/>
      </c>
      <c r="B910" s="15">
        <f>IF(A910="","",A910/Calculator!$B$27)</f>
        <v/>
      </c>
      <c r="C910" s="15">
        <f>IF(A910="","",Calculator!$B$27-A910)</f>
        <v/>
      </c>
      <c r="D910" s="17">
        <f>IF(A910="","",(Calculator!$B$11+C910)*Calculator!$B$5)</f>
        <v/>
      </c>
      <c r="E910" s="12">
        <f>IF(A910="","",IF(Calculator!$B$17=1,ROUNDUP(D910*Calculator!$B$8/3600/Calculator!$B$24-0.000000001,0),D910*Calculator!$B$8/3600/Calculator!$B$24))</f>
        <v/>
      </c>
      <c r="F910" s="16">
        <f>IF(A910="","",IF(Calculator!$B$16=1,Calculator!$B$27,A910)*Calculator!$B$5*Calculator!$B$15)</f>
        <v/>
      </c>
      <c r="G910" s="16">
        <f>IF(A910="","",E910*Calculator!$B$6+Calculator!$C$37+F910+Calculator!$B$30)</f>
        <v/>
      </c>
      <c r="H910" s="16">
        <f>IF(A910="","",Calculator!$B$40-G910)</f>
        <v/>
      </c>
      <c r="I910" s="17">
        <f>IF(A910="","",A910*Calculator!$B$5*Calculator!$B$8/3600)</f>
        <v/>
      </c>
      <c r="J910" s="12">
        <f>IF(A910="","",Calculator!$B$35-E910)</f>
        <v/>
      </c>
    </row>
    <row r="911">
      <c r="A911" s="15">
        <f>IF(909/1000&lt;=Calculator!$B$27+0.0000001,909/1000,"")</f>
        <v/>
      </c>
      <c r="B911" s="15">
        <f>IF(A911="","",A911/Calculator!$B$27)</f>
        <v/>
      </c>
      <c r="C911" s="15">
        <f>IF(A911="","",Calculator!$B$27-A911)</f>
        <v/>
      </c>
      <c r="D911" s="17">
        <f>IF(A911="","",(Calculator!$B$11+C911)*Calculator!$B$5)</f>
        <v/>
      </c>
      <c r="E911" s="12">
        <f>IF(A911="","",IF(Calculator!$B$17=1,ROUNDUP(D911*Calculator!$B$8/3600/Calculator!$B$24-0.000000001,0),D911*Calculator!$B$8/3600/Calculator!$B$24))</f>
        <v/>
      </c>
      <c r="F911" s="16">
        <f>IF(A911="","",IF(Calculator!$B$16=1,Calculator!$B$27,A911)*Calculator!$B$5*Calculator!$B$15)</f>
        <v/>
      </c>
      <c r="G911" s="16">
        <f>IF(A911="","",E911*Calculator!$B$6+Calculator!$C$37+F911+Calculator!$B$30)</f>
        <v/>
      </c>
      <c r="H911" s="16">
        <f>IF(A911="","",Calculator!$B$40-G911)</f>
        <v/>
      </c>
      <c r="I911" s="17">
        <f>IF(A911="","",A911*Calculator!$B$5*Calculator!$B$8/3600)</f>
        <v/>
      </c>
      <c r="J911" s="12">
        <f>IF(A911="","",Calculator!$B$35-E911)</f>
        <v/>
      </c>
    </row>
    <row r="912">
      <c r="A912" s="15">
        <f>IF(910/1000&lt;=Calculator!$B$27+0.0000001,910/1000,"")</f>
        <v/>
      </c>
      <c r="B912" s="15">
        <f>IF(A912="","",A912/Calculator!$B$27)</f>
        <v/>
      </c>
      <c r="C912" s="15">
        <f>IF(A912="","",Calculator!$B$27-A912)</f>
        <v/>
      </c>
      <c r="D912" s="17">
        <f>IF(A912="","",(Calculator!$B$11+C912)*Calculator!$B$5)</f>
        <v/>
      </c>
      <c r="E912" s="12">
        <f>IF(A912="","",IF(Calculator!$B$17=1,ROUNDUP(D912*Calculator!$B$8/3600/Calculator!$B$24-0.000000001,0),D912*Calculator!$B$8/3600/Calculator!$B$24))</f>
        <v/>
      </c>
      <c r="F912" s="16">
        <f>IF(A912="","",IF(Calculator!$B$16=1,Calculator!$B$27,A912)*Calculator!$B$5*Calculator!$B$15)</f>
        <v/>
      </c>
      <c r="G912" s="16">
        <f>IF(A912="","",E912*Calculator!$B$6+Calculator!$C$37+F912+Calculator!$B$30)</f>
        <v/>
      </c>
      <c r="H912" s="16">
        <f>IF(A912="","",Calculator!$B$40-G912)</f>
        <v/>
      </c>
      <c r="I912" s="17">
        <f>IF(A912="","",A912*Calculator!$B$5*Calculator!$B$8/3600)</f>
        <v/>
      </c>
      <c r="J912" s="12">
        <f>IF(A912="","",Calculator!$B$35-E912)</f>
        <v/>
      </c>
    </row>
    <row r="913">
      <c r="A913" s="15">
        <f>IF(911/1000&lt;=Calculator!$B$27+0.0000001,911/1000,"")</f>
        <v/>
      </c>
      <c r="B913" s="15">
        <f>IF(A913="","",A913/Calculator!$B$27)</f>
        <v/>
      </c>
      <c r="C913" s="15">
        <f>IF(A913="","",Calculator!$B$27-A913)</f>
        <v/>
      </c>
      <c r="D913" s="17">
        <f>IF(A913="","",(Calculator!$B$11+C913)*Calculator!$B$5)</f>
        <v/>
      </c>
      <c r="E913" s="12">
        <f>IF(A913="","",IF(Calculator!$B$17=1,ROUNDUP(D913*Calculator!$B$8/3600/Calculator!$B$24-0.000000001,0),D913*Calculator!$B$8/3600/Calculator!$B$24))</f>
        <v/>
      </c>
      <c r="F913" s="16">
        <f>IF(A913="","",IF(Calculator!$B$16=1,Calculator!$B$27,A913)*Calculator!$B$5*Calculator!$B$15)</f>
        <v/>
      </c>
      <c r="G913" s="16">
        <f>IF(A913="","",E913*Calculator!$B$6+Calculator!$C$37+F913+Calculator!$B$30)</f>
        <v/>
      </c>
      <c r="H913" s="16">
        <f>IF(A913="","",Calculator!$B$40-G913)</f>
        <v/>
      </c>
      <c r="I913" s="17">
        <f>IF(A913="","",A913*Calculator!$B$5*Calculator!$B$8/3600)</f>
        <v/>
      </c>
      <c r="J913" s="12">
        <f>IF(A913="","",Calculator!$B$35-E913)</f>
        <v/>
      </c>
    </row>
    <row r="914">
      <c r="A914" s="15">
        <f>IF(912/1000&lt;=Calculator!$B$27+0.0000001,912/1000,"")</f>
        <v/>
      </c>
      <c r="B914" s="15">
        <f>IF(A914="","",A914/Calculator!$B$27)</f>
        <v/>
      </c>
      <c r="C914" s="15">
        <f>IF(A914="","",Calculator!$B$27-A914)</f>
        <v/>
      </c>
      <c r="D914" s="17">
        <f>IF(A914="","",(Calculator!$B$11+C914)*Calculator!$B$5)</f>
        <v/>
      </c>
      <c r="E914" s="12">
        <f>IF(A914="","",IF(Calculator!$B$17=1,ROUNDUP(D914*Calculator!$B$8/3600/Calculator!$B$24-0.000000001,0),D914*Calculator!$B$8/3600/Calculator!$B$24))</f>
        <v/>
      </c>
      <c r="F914" s="16">
        <f>IF(A914="","",IF(Calculator!$B$16=1,Calculator!$B$27,A914)*Calculator!$B$5*Calculator!$B$15)</f>
        <v/>
      </c>
      <c r="G914" s="16">
        <f>IF(A914="","",E914*Calculator!$B$6+Calculator!$C$37+F914+Calculator!$B$30)</f>
        <v/>
      </c>
      <c r="H914" s="16">
        <f>IF(A914="","",Calculator!$B$40-G914)</f>
        <v/>
      </c>
      <c r="I914" s="17">
        <f>IF(A914="","",A914*Calculator!$B$5*Calculator!$B$8/3600)</f>
        <v/>
      </c>
      <c r="J914" s="12">
        <f>IF(A914="","",Calculator!$B$35-E914)</f>
        <v/>
      </c>
    </row>
    <row r="915">
      <c r="A915" s="15">
        <f>IF(913/1000&lt;=Calculator!$B$27+0.0000001,913/1000,"")</f>
        <v/>
      </c>
      <c r="B915" s="15">
        <f>IF(A915="","",A915/Calculator!$B$27)</f>
        <v/>
      </c>
      <c r="C915" s="15">
        <f>IF(A915="","",Calculator!$B$27-A915)</f>
        <v/>
      </c>
      <c r="D915" s="17">
        <f>IF(A915="","",(Calculator!$B$11+C915)*Calculator!$B$5)</f>
        <v/>
      </c>
      <c r="E915" s="12">
        <f>IF(A915="","",IF(Calculator!$B$17=1,ROUNDUP(D915*Calculator!$B$8/3600/Calculator!$B$24-0.000000001,0),D915*Calculator!$B$8/3600/Calculator!$B$24))</f>
        <v/>
      </c>
      <c r="F915" s="16">
        <f>IF(A915="","",IF(Calculator!$B$16=1,Calculator!$B$27,A915)*Calculator!$B$5*Calculator!$B$15)</f>
        <v/>
      </c>
      <c r="G915" s="16">
        <f>IF(A915="","",E915*Calculator!$B$6+Calculator!$C$37+F915+Calculator!$B$30)</f>
        <v/>
      </c>
      <c r="H915" s="16">
        <f>IF(A915="","",Calculator!$B$40-G915)</f>
        <v/>
      </c>
      <c r="I915" s="17">
        <f>IF(A915="","",A915*Calculator!$B$5*Calculator!$B$8/3600)</f>
        <v/>
      </c>
      <c r="J915" s="12">
        <f>IF(A915="","",Calculator!$B$35-E915)</f>
        <v/>
      </c>
    </row>
    <row r="916">
      <c r="A916" s="15">
        <f>IF(914/1000&lt;=Calculator!$B$27+0.0000001,914/1000,"")</f>
        <v/>
      </c>
      <c r="B916" s="15">
        <f>IF(A916="","",A916/Calculator!$B$27)</f>
        <v/>
      </c>
      <c r="C916" s="15">
        <f>IF(A916="","",Calculator!$B$27-A916)</f>
        <v/>
      </c>
      <c r="D916" s="17">
        <f>IF(A916="","",(Calculator!$B$11+C916)*Calculator!$B$5)</f>
        <v/>
      </c>
      <c r="E916" s="12">
        <f>IF(A916="","",IF(Calculator!$B$17=1,ROUNDUP(D916*Calculator!$B$8/3600/Calculator!$B$24-0.000000001,0),D916*Calculator!$B$8/3600/Calculator!$B$24))</f>
        <v/>
      </c>
      <c r="F916" s="16">
        <f>IF(A916="","",IF(Calculator!$B$16=1,Calculator!$B$27,A916)*Calculator!$B$5*Calculator!$B$15)</f>
        <v/>
      </c>
      <c r="G916" s="16">
        <f>IF(A916="","",E916*Calculator!$B$6+Calculator!$C$37+F916+Calculator!$B$30)</f>
        <v/>
      </c>
      <c r="H916" s="16">
        <f>IF(A916="","",Calculator!$B$40-G916)</f>
        <v/>
      </c>
      <c r="I916" s="17">
        <f>IF(A916="","",A916*Calculator!$B$5*Calculator!$B$8/3600)</f>
        <v/>
      </c>
      <c r="J916" s="12">
        <f>IF(A916="","",Calculator!$B$35-E916)</f>
        <v/>
      </c>
    </row>
    <row r="917">
      <c r="A917" s="15">
        <f>IF(915/1000&lt;=Calculator!$B$27+0.0000001,915/1000,"")</f>
        <v/>
      </c>
      <c r="B917" s="15">
        <f>IF(A917="","",A917/Calculator!$B$27)</f>
        <v/>
      </c>
      <c r="C917" s="15">
        <f>IF(A917="","",Calculator!$B$27-A917)</f>
        <v/>
      </c>
      <c r="D917" s="17">
        <f>IF(A917="","",(Calculator!$B$11+C917)*Calculator!$B$5)</f>
        <v/>
      </c>
      <c r="E917" s="12">
        <f>IF(A917="","",IF(Calculator!$B$17=1,ROUNDUP(D917*Calculator!$B$8/3600/Calculator!$B$24-0.000000001,0),D917*Calculator!$B$8/3600/Calculator!$B$24))</f>
        <v/>
      </c>
      <c r="F917" s="16">
        <f>IF(A917="","",IF(Calculator!$B$16=1,Calculator!$B$27,A917)*Calculator!$B$5*Calculator!$B$15)</f>
        <v/>
      </c>
      <c r="G917" s="16">
        <f>IF(A917="","",E917*Calculator!$B$6+Calculator!$C$37+F917+Calculator!$B$30)</f>
        <v/>
      </c>
      <c r="H917" s="16">
        <f>IF(A917="","",Calculator!$B$40-G917)</f>
        <v/>
      </c>
      <c r="I917" s="17">
        <f>IF(A917="","",A917*Calculator!$B$5*Calculator!$B$8/3600)</f>
        <v/>
      </c>
      <c r="J917" s="12">
        <f>IF(A917="","",Calculator!$B$35-E917)</f>
        <v/>
      </c>
    </row>
    <row r="918">
      <c r="A918" s="15">
        <f>IF(916/1000&lt;=Calculator!$B$27+0.0000001,916/1000,"")</f>
        <v/>
      </c>
      <c r="B918" s="15">
        <f>IF(A918="","",A918/Calculator!$B$27)</f>
        <v/>
      </c>
      <c r="C918" s="15">
        <f>IF(A918="","",Calculator!$B$27-A918)</f>
        <v/>
      </c>
      <c r="D918" s="17">
        <f>IF(A918="","",(Calculator!$B$11+C918)*Calculator!$B$5)</f>
        <v/>
      </c>
      <c r="E918" s="12">
        <f>IF(A918="","",IF(Calculator!$B$17=1,ROUNDUP(D918*Calculator!$B$8/3600/Calculator!$B$24-0.000000001,0),D918*Calculator!$B$8/3600/Calculator!$B$24))</f>
        <v/>
      </c>
      <c r="F918" s="16">
        <f>IF(A918="","",IF(Calculator!$B$16=1,Calculator!$B$27,A918)*Calculator!$B$5*Calculator!$B$15)</f>
        <v/>
      </c>
      <c r="G918" s="16">
        <f>IF(A918="","",E918*Calculator!$B$6+Calculator!$C$37+F918+Calculator!$B$30)</f>
        <v/>
      </c>
      <c r="H918" s="16">
        <f>IF(A918="","",Calculator!$B$40-G918)</f>
        <v/>
      </c>
      <c r="I918" s="17">
        <f>IF(A918="","",A918*Calculator!$B$5*Calculator!$B$8/3600)</f>
        <v/>
      </c>
      <c r="J918" s="12">
        <f>IF(A918="","",Calculator!$B$35-E918)</f>
        <v/>
      </c>
    </row>
    <row r="919">
      <c r="A919" s="15">
        <f>IF(917/1000&lt;=Calculator!$B$27+0.0000001,917/1000,"")</f>
        <v/>
      </c>
      <c r="B919" s="15">
        <f>IF(A919="","",A919/Calculator!$B$27)</f>
        <v/>
      </c>
      <c r="C919" s="15">
        <f>IF(A919="","",Calculator!$B$27-A919)</f>
        <v/>
      </c>
      <c r="D919" s="17">
        <f>IF(A919="","",(Calculator!$B$11+C919)*Calculator!$B$5)</f>
        <v/>
      </c>
      <c r="E919" s="12">
        <f>IF(A919="","",IF(Calculator!$B$17=1,ROUNDUP(D919*Calculator!$B$8/3600/Calculator!$B$24-0.000000001,0),D919*Calculator!$B$8/3600/Calculator!$B$24))</f>
        <v/>
      </c>
      <c r="F919" s="16">
        <f>IF(A919="","",IF(Calculator!$B$16=1,Calculator!$B$27,A919)*Calculator!$B$5*Calculator!$B$15)</f>
        <v/>
      </c>
      <c r="G919" s="16">
        <f>IF(A919="","",E919*Calculator!$B$6+Calculator!$C$37+F919+Calculator!$B$30)</f>
        <v/>
      </c>
      <c r="H919" s="16">
        <f>IF(A919="","",Calculator!$B$40-G919)</f>
        <v/>
      </c>
      <c r="I919" s="17">
        <f>IF(A919="","",A919*Calculator!$B$5*Calculator!$B$8/3600)</f>
        <v/>
      </c>
      <c r="J919" s="12">
        <f>IF(A919="","",Calculator!$B$35-E919)</f>
        <v/>
      </c>
    </row>
    <row r="920">
      <c r="A920" s="15">
        <f>IF(918/1000&lt;=Calculator!$B$27+0.0000001,918/1000,"")</f>
        <v/>
      </c>
      <c r="B920" s="15">
        <f>IF(A920="","",A920/Calculator!$B$27)</f>
        <v/>
      </c>
      <c r="C920" s="15">
        <f>IF(A920="","",Calculator!$B$27-A920)</f>
        <v/>
      </c>
      <c r="D920" s="17">
        <f>IF(A920="","",(Calculator!$B$11+C920)*Calculator!$B$5)</f>
        <v/>
      </c>
      <c r="E920" s="12">
        <f>IF(A920="","",IF(Calculator!$B$17=1,ROUNDUP(D920*Calculator!$B$8/3600/Calculator!$B$24-0.000000001,0),D920*Calculator!$B$8/3600/Calculator!$B$24))</f>
        <v/>
      </c>
      <c r="F920" s="16">
        <f>IF(A920="","",IF(Calculator!$B$16=1,Calculator!$B$27,A920)*Calculator!$B$5*Calculator!$B$15)</f>
        <v/>
      </c>
      <c r="G920" s="16">
        <f>IF(A920="","",E920*Calculator!$B$6+Calculator!$C$37+F920+Calculator!$B$30)</f>
        <v/>
      </c>
      <c r="H920" s="16">
        <f>IF(A920="","",Calculator!$B$40-G920)</f>
        <v/>
      </c>
      <c r="I920" s="17">
        <f>IF(A920="","",A920*Calculator!$B$5*Calculator!$B$8/3600)</f>
        <v/>
      </c>
      <c r="J920" s="12">
        <f>IF(A920="","",Calculator!$B$35-E920)</f>
        <v/>
      </c>
    </row>
    <row r="921">
      <c r="A921" s="15">
        <f>IF(919/1000&lt;=Calculator!$B$27+0.0000001,919/1000,"")</f>
        <v/>
      </c>
      <c r="B921" s="15">
        <f>IF(A921="","",A921/Calculator!$B$27)</f>
        <v/>
      </c>
      <c r="C921" s="15">
        <f>IF(A921="","",Calculator!$B$27-A921)</f>
        <v/>
      </c>
      <c r="D921" s="17">
        <f>IF(A921="","",(Calculator!$B$11+C921)*Calculator!$B$5)</f>
        <v/>
      </c>
      <c r="E921" s="12">
        <f>IF(A921="","",IF(Calculator!$B$17=1,ROUNDUP(D921*Calculator!$B$8/3600/Calculator!$B$24-0.000000001,0),D921*Calculator!$B$8/3600/Calculator!$B$24))</f>
        <v/>
      </c>
      <c r="F921" s="16">
        <f>IF(A921="","",IF(Calculator!$B$16=1,Calculator!$B$27,A921)*Calculator!$B$5*Calculator!$B$15)</f>
        <v/>
      </c>
      <c r="G921" s="16">
        <f>IF(A921="","",E921*Calculator!$B$6+Calculator!$C$37+F921+Calculator!$B$30)</f>
        <v/>
      </c>
      <c r="H921" s="16">
        <f>IF(A921="","",Calculator!$B$40-G921)</f>
        <v/>
      </c>
      <c r="I921" s="17">
        <f>IF(A921="","",A921*Calculator!$B$5*Calculator!$B$8/3600)</f>
        <v/>
      </c>
      <c r="J921" s="12">
        <f>IF(A921="","",Calculator!$B$35-E921)</f>
        <v/>
      </c>
    </row>
    <row r="922">
      <c r="A922" s="15">
        <f>IF(920/1000&lt;=Calculator!$B$27+0.0000001,920/1000,"")</f>
        <v/>
      </c>
      <c r="B922" s="15">
        <f>IF(A922="","",A922/Calculator!$B$27)</f>
        <v/>
      </c>
      <c r="C922" s="15">
        <f>IF(A922="","",Calculator!$B$27-A922)</f>
        <v/>
      </c>
      <c r="D922" s="17">
        <f>IF(A922="","",(Calculator!$B$11+C922)*Calculator!$B$5)</f>
        <v/>
      </c>
      <c r="E922" s="12">
        <f>IF(A922="","",IF(Calculator!$B$17=1,ROUNDUP(D922*Calculator!$B$8/3600/Calculator!$B$24-0.000000001,0),D922*Calculator!$B$8/3600/Calculator!$B$24))</f>
        <v/>
      </c>
      <c r="F922" s="16">
        <f>IF(A922="","",IF(Calculator!$B$16=1,Calculator!$B$27,A922)*Calculator!$B$5*Calculator!$B$15)</f>
        <v/>
      </c>
      <c r="G922" s="16">
        <f>IF(A922="","",E922*Calculator!$B$6+Calculator!$C$37+F922+Calculator!$B$30)</f>
        <v/>
      </c>
      <c r="H922" s="16">
        <f>IF(A922="","",Calculator!$B$40-G922)</f>
        <v/>
      </c>
      <c r="I922" s="17">
        <f>IF(A922="","",A922*Calculator!$B$5*Calculator!$B$8/3600)</f>
        <v/>
      </c>
      <c r="J922" s="12">
        <f>IF(A922="","",Calculator!$B$35-E922)</f>
        <v/>
      </c>
    </row>
    <row r="923">
      <c r="A923" s="15">
        <f>IF(921/1000&lt;=Calculator!$B$27+0.0000001,921/1000,"")</f>
        <v/>
      </c>
      <c r="B923" s="15">
        <f>IF(A923="","",A923/Calculator!$B$27)</f>
        <v/>
      </c>
      <c r="C923" s="15">
        <f>IF(A923="","",Calculator!$B$27-A923)</f>
        <v/>
      </c>
      <c r="D923" s="17">
        <f>IF(A923="","",(Calculator!$B$11+C923)*Calculator!$B$5)</f>
        <v/>
      </c>
      <c r="E923" s="12">
        <f>IF(A923="","",IF(Calculator!$B$17=1,ROUNDUP(D923*Calculator!$B$8/3600/Calculator!$B$24-0.000000001,0),D923*Calculator!$B$8/3600/Calculator!$B$24))</f>
        <v/>
      </c>
      <c r="F923" s="16">
        <f>IF(A923="","",IF(Calculator!$B$16=1,Calculator!$B$27,A923)*Calculator!$B$5*Calculator!$B$15)</f>
        <v/>
      </c>
      <c r="G923" s="16">
        <f>IF(A923="","",E923*Calculator!$B$6+Calculator!$C$37+F923+Calculator!$B$30)</f>
        <v/>
      </c>
      <c r="H923" s="16">
        <f>IF(A923="","",Calculator!$B$40-G923)</f>
        <v/>
      </c>
      <c r="I923" s="17">
        <f>IF(A923="","",A923*Calculator!$B$5*Calculator!$B$8/3600)</f>
        <v/>
      </c>
      <c r="J923" s="12">
        <f>IF(A923="","",Calculator!$B$35-E923)</f>
        <v/>
      </c>
    </row>
    <row r="924">
      <c r="A924" s="15">
        <f>IF(922/1000&lt;=Calculator!$B$27+0.0000001,922/1000,"")</f>
        <v/>
      </c>
      <c r="B924" s="15">
        <f>IF(A924="","",A924/Calculator!$B$27)</f>
        <v/>
      </c>
      <c r="C924" s="15">
        <f>IF(A924="","",Calculator!$B$27-A924)</f>
        <v/>
      </c>
      <c r="D924" s="17">
        <f>IF(A924="","",(Calculator!$B$11+C924)*Calculator!$B$5)</f>
        <v/>
      </c>
      <c r="E924" s="12">
        <f>IF(A924="","",IF(Calculator!$B$17=1,ROUNDUP(D924*Calculator!$B$8/3600/Calculator!$B$24-0.000000001,0),D924*Calculator!$B$8/3600/Calculator!$B$24))</f>
        <v/>
      </c>
      <c r="F924" s="16">
        <f>IF(A924="","",IF(Calculator!$B$16=1,Calculator!$B$27,A924)*Calculator!$B$5*Calculator!$B$15)</f>
        <v/>
      </c>
      <c r="G924" s="16">
        <f>IF(A924="","",E924*Calculator!$B$6+Calculator!$C$37+F924+Calculator!$B$30)</f>
        <v/>
      </c>
      <c r="H924" s="16">
        <f>IF(A924="","",Calculator!$B$40-G924)</f>
        <v/>
      </c>
      <c r="I924" s="17">
        <f>IF(A924="","",A924*Calculator!$B$5*Calculator!$B$8/3600)</f>
        <v/>
      </c>
      <c r="J924" s="12">
        <f>IF(A924="","",Calculator!$B$35-E924)</f>
        <v/>
      </c>
    </row>
    <row r="925">
      <c r="A925" s="15">
        <f>IF(923/1000&lt;=Calculator!$B$27+0.0000001,923/1000,"")</f>
        <v/>
      </c>
      <c r="B925" s="15">
        <f>IF(A925="","",A925/Calculator!$B$27)</f>
        <v/>
      </c>
      <c r="C925" s="15">
        <f>IF(A925="","",Calculator!$B$27-A925)</f>
        <v/>
      </c>
      <c r="D925" s="17">
        <f>IF(A925="","",(Calculator!$B$11+C925)*Calculator!$B$5)</f>
        <v/>
      </c>
      <c r="E925" s="12">
        <f>IF(A925="","",IF(Calculator!$B$17=1,ROUNDUP(D925*Calculator!$B$8/3600/Calculator!$B$24-0.000000001,0),D925*Calculator!$B$8/3600/Calculator!$B$24))</f>
        <v/>
      </c>
      <c r="F925" s="16">
        <f>IF(A925="","",IF(Calculator!$B$16=1,Calculator!$B$27,A925)*Calculator!$B$5*Calculator!$B$15)</f>
        <v/>
      </c>
      <c r="G925" s="16">
        <f>IF(A925="","",E925*Calculator!$B$6+Calculator!$C$37+F925+Calculator!$B$30)</f>
        <v/>
      </c>
      <c r="H925" s="16">
        <f>IF(A925="","",Calculator!$B$40-G925)</f>
        <v/>
      </c>
      <c r="I925" s="17">
        <f>IF(A925="","",A925*Calculator!$B$5*Calculator!$B$8/3600)</f>
        <v/>
      </c>
      <c r="J925" s="12">
        <f>IF(A925="","",Calculator!$B$35-E925)</f>
        <v/>
      </c>
    </row>
    <row r="926">
      <c r="A926" s="15">
        <f>IF(924/1000&lt;=Calculator!$B$27+0.0000001,924/1000,"")</f>
        <v/>
      </c>
      <c r="B926" s="15">
        <f>IF(A926="","",A926/Calculator!$B$27)</f>
        <v/>
      </c>
      <c r="C926" s="15">
        <f>IF(A926="","",Calculator!$B$27-A926)</f>
        <v/>
      </c>
      <c r="D926" s="17">
        <f>IF(A926="","",(Calculator!$B$11+C926)*Calculator!$B$5)</f>
        <v/>
      </c>
      <c r="E926" s="12">
        <f>IF(A926="","",IF(Calculator!$B$17=1,ROUNDUP(D926*Calculator!$B$8/3600/Calculator!$B$24-0.000000001,0),D926*Calculator!$B$8/3600/Calculator!$B$24))</f>
        <v/>
      </c>
      <c r="F926" s="16">
        <f>IF(A926="","",IF(Calculator!$B$16=1,Calculator!$B$27,A926)*Calculator!$B$5*Calculator!$B$15)</f>
        <v/>
      </c>
      <c r="G926" s="16">
        <f>IF(A926="","",E926*Calculator!$B$6+Calculator!$C$37+F926+Calculator!$B$30)</f>
        <v/>
      </c>
      <c r="H926" s="16">
        <f>IF(A926="","",Calculator!$B$40-G926)</f>
        <v/>
      </c>
      <c r="I926" s="17">
        <f>IF(A926="","",A926*Calculator!$B$5*Calculator!$B$8/3600)</f>
        <v/>
      </c>
      <c r="J926" s="12">
        <f>IF(A926="","",Calculator!$B$35-E926)</f>
        <v/>
      </c>
    </row>
    <row r="927">
      <c r="A927" s="15">
        <f>IF(925/1000&lt;=Calculator!$B$27+0.0000001,925/1000,"")</f>
        <v/>
      </c>
      <c r="B927" s="15">
        <f>IF(A927="","",A927/Calculator!$B$27)</f>
        <v/>
      </c>
      <c r="C927" s="15">
        <f>IF(A927="","",Calculator!$B$27-A927)</f>
        <v/>
      </c>
      <c r="D927" s="17">
        <f>IF(A927="","",(Calculator!$B$11+C927)*Calculator!$B$5)</f>
        <v/>
      </c>
      <c r="E927" s="12">
        <f>IF(A927="","",IF(Calculator!$B$17=1,ROUNDUP(D927*Calculator!$B$8/3600/Calculator!$B$24-0.000000001,0),D927*Calculator!$B$8/3600/Calculator!$B$24))</f>
        <v/>
      </c>
      <c r="F927" s="16">
        <f>IF(A927="","",IF(Calculator!$B$16=1,Calculator!$B$27,A927)*Calculator!$B$5*Calculator!$B$15)</f>
        <v/>
      </c>
      <c r="G927" s="16">
        <f>IF(A927="","",E927*Calculator!$B$6+Calculator!$C$37+F927+Calculator!$B$30)</f>
        <v/>
      </c>
      <c r="H927" s="16">
        <f>IF(A927="","",Calculator!$B$40-G927)</f>
        <v/>
      </c>
      <c r="I927" s="17">
        <f>IF(A927="","",A927*Calculator!$B$5*Calculator!$B$8/3600)</f>
        <v/>
      </c>
      <c r="J927" s="12">
        <f>IF(A927="","",Calculator!$B$35-E927)</f>
        <v/>
      </c>
    </row>
    <row r="928">
      <c r="A928" s="15">
        <f>IF(926/1000&lt;=Calculator!$B$27+0.0000001,926/1000,"")</f>
        <v/>
      </c>
      <c r="B928" s="15">
        <f>IF(A928="","",A928/Calculator!$B$27)</f>
        <v/>
      </c>
      <c r="C928" s="15">
        <f>IF(A928="","",Calculator!$B$27-A928)</f>
        <v/>
      </c>
      <c r="D928" s="17">
        <f>IF(A928="","",(Calculator!$B$11+C928)*Calculator!$B$5)</f>
        <v/>
      </c>
      <c r="E928" s="12">
        <f>IF(A928="","",IF(Calculator!$B$17=1,ROUNDUP(D928*Calculator!$B$8/3600/Calculator!$B$24-0.000000001,0),D928*Calculator!$B$8/3600/Calculator!$B$24))</f>
        <v/>
      </c>
      <c r="F928" s="16">
        <f>IF(A928="","",IF(Calculator!$B$16=1,Calculator!$B$27,A928)*Calculator!$B$5*Calculator!$B$15)</f>
        <v/>
      </c>
      <c r="G928" s="16">
        <f>IF(A928="","",E928*Calculator!$B$6+Calculator!$C$37+F928+Calculator!$B$30)</f>
        <v/>
      </c>
      <c r="H928" s="16">
        <f>IF(A928="","",Calculator!$B$40-G928)</f>
        <v/>
      </c>
      <c r="I928" s="17">
        <f>IF(A928="","",A928*Calculator!$B$5*Calculator!$B$8/3600)</f>
        <v/>
      </c>
      <c r="J928" s="12">
        <f>IF(A928="","",Calculator!$B$35-E928)</f>
        <v/>
      </c>
    </row>
    <row r="929">
      <c r="A929" s="15">
        <f>IF(927/1000&lt;=Calculator!$B$27+0.0000001,927/1000,"")</f>
        <v/>
      </c>
      <c r="B929" s="15">
        <f>IF(A929="","",A929/Calculator!$B$27)</f>
        <v/>
      </c>
      <c r="C929" s="15">
        <f>IF(A929="","",Calculator!$B$27-A929)</f>
        <v/>
      </c>
      <c r="D929" s="17">
        <f>IF(A929="","",(Calculator!$B$11+C929)*Calculator!$B$5)</f>
        <v/>
      </c>
      <c r="E929" s="12">
        <f>IF(A929="","",IF(Calculator!$B$17=1,ROUNDUP(D929*Calculator!$B$8/3600/Calculator!$B$24-0.000000001,0),D929*Calculator!$B$8/3600/Calculator!$B$24))</f>
        <v/>
      </c>
      <c r="F929" s="16">
        <f>IF(A929="","",IF(Calculator!$B$16=1,Calculator!$B$27,A929)*Calculator!$B$5*Calculator!$B$15)</f>
        <v/>
      </c>
      <c r="G929" s="16">
        <f>IF(A929="","",E929*Calculator!$B$6+Calculator!$C$37+F929+Calculator!$B$30)</f>
        <v/>
      </c>
      <c r="H929" s="16">
        <f>IF(A929="","",Calculator!$B$40-G929)</f>
        <v/>
      </c>
      <c r="I929" s="17">
        <f>IF(A929="","",A929*Calculator!$B$5*Calculator!$B$8/3600)</f>
        <v/>
      </c>
      <c r="J929" s="12">
        <f>IF(A929="","",Calculator!$B$35-E929)</f>
        <v/>
      </c>
    </row>
    <row r="930">
      <c r="A930" s="15">
        <f>IF(928/1000&lt;=Calculator!$B$27+0.0000001,928/1000,"")</f>
        <v/>
      </c>
      <c r="B930" s="15">
        <f>IF(A930="","",A930/Calculator!$B$27)</f>
        <v/>
      </c>
      <c r="C930" s="15">
        <f>IF(A930="","",Calculator!$B$27-A930)</f>
        <v/>
      </c>
      <c r="D930" s="17">
        <f>IF(A930="","",(Calculator!$B$11+C930)*Calculator!$B$5)</f>
        <v/>
      </c>
      <c r="E930" s="12">
        <f>IF(A930="","",IF(Calculator!$B$17=1,ROUNDUP(D930*Calculator!$B$8/3600/Calculator!$B$24-0.000000001,0),D930*Calculator!$B$8/3600/Calculator!$B$24))</f>
        <v/>
      </c>
      <c r="F930" s="16">
        <f>IF(A930="","",IF(Calculator!$B$16=1,Calculator!$B$27,A930)*Calculator!$B$5*Calculator!$B$15)</f>
        <v/>
      </c>
      <c r="G930" s="16">
        <f>IF(A930="","",E930*Calculator!$B$6+Calculator!$C$37+F930+Calculator!$B$30)</f>
        <v/>
      </c>
      <c r="H930" s="16">
        <f>IF(A930="","",Calculator!$B$40-G930)</f>
        <v/>
      </c>
      <c r="I930" s="17">
        <f>IF(A930="","",A930*Calculator!$B$5*Calculator!$B$8/3600)</f>
        <v/>
      </c>
      <c r="J930" s="12">
        <f>IF(A930="","",Calculator!$B$35-E930)</f>
        <v/>
      </c>
    </row>
    <row r="931">
      <c r="A931" s="15">
        <f>IF(929/1000&lt;=Calculator!$B$27+0.0000001,929/1000,"")</f>
        <v/>
      </c>
      <c r="B931" s="15">
        <f>IF(A931="","",A931/Calculator!$B$27)</f>
        <v/>
      </c>
      <c r="C931" s="15">
        <f>IF(A931="","",Calculator!$B$27-A931)</f>
        <v/>
      </c>
      <c r="D931" s="17">
        <f>IF(A931="","",(Calculator!$B$11+C931)*Calculator!$B$5)</f>
        <v/>
      </c>
      <c r="E931" s="12">
        <f>IF(A931="","",IF(Calculator!$B$17=1,ROUNDUP(D931*Calculator!$B$8/3600/Calculator!$B$24-0.000000001,0),D931*Calculator!$B$8/3600/Calculator!$B$24))</f>
        <v/>
      </c>
      <c r="F931" s="16">
        <f>IF(A931="","",IF(Calculator!$B$16=1,Calculator!$B$27,A931)*Calculator!$B$5*Calculator!$B$15)</f>
        <v/>
      </c>
      <c r="G931" s="16">
        <f>IF(A931="","",E931*Calculator!$B$6+Calculator!$C$37+F931+Calculator!$B$30)</f>
        <v/>
      </c>
      <c r="H931" s="16">
        <f>IF(A931="","",Calculator!$B$40-G931)</f>
        <v/>
      </c>
      <c r="I931" s="17">
        <f>IF(A931="","",A931*Calculator!$B$5*Calculator!$B$8/3600)</f>
        <v/>
      </c>
      <c r="J931" s="12">
        <f>IF(A931="","",Calculator!$B$35-E931)</f>
        <v/>
      </c>
    </row>
    <row r="932">
      <c r="A932" s="15">
        <f>IF(930/1000&lt;=Calculator!$B$27+0.0000001,930/1000,"")</f>
        <v/>
      </c>
      <c r="B932" s="15">
        <f>IF(A932="","",A932/Calculator!$B$27)</f>
        <v/>
      </c>
      <c r="C932" s="15">
        <f>IF(A932="","",Calculator!$B$27-A932)</f>
        <v/>
      </c>
      <c r="D932" s="17">
        <f>IF(A932="","",(Calculator!$B$11+C932)*Calculator!$B$5)</f>
        <v/>
      </c>
      <c r="E932" s="12">
        <f>IF(A932="","",IF(Calculator!$B$17=1,ROUNDUP(D932*Calculator!$B$8/3600/Calculator!$B$24-0.000000001,0),D932*Calculator!$B$8/3600/Calculator!$B$24))</f>
        <v/>
      </c>
      <c r="F932" s="16">
        <f>IF(A932="","",IF(Calculator!$B$16=1,Calculator!$B$27,A932)*Calculator!$B$5*Calculator!$B$15)</f>
        <v/>
      </c>
      <c r="G932" s="16">
        <f>IF(A932="","",E932*Calculator!$B$6+Calculator!$C$37+F932+Calculator!$B$30)</f>
        <v/>
      </c>
      <c r="H932" s="16">
        <f>IF(A932="","",Calculator!$B$40-G932)</f>
        <v/>
      </c>
      <c r="I932" s="17">
        <f>IF(A932="","",A932*Calculator!$B$5*Calculator!$B$8/3600)</f>
        <v/>
      </c>
      <c r="J932" s="12">
        <f>IF(A932="","",Calculator!$B$35-E932)</f>
        <v/>
      </c>
    </row>
    <row r="933">
      <c r="A933" s="15">
        <f>IF(931/1000&lt;=Calculator!$B$27+0.0000001,931/1000,"")</f>
        <v/>
      </c>
      <c r="B933" s="15">
        <f>IF(A933="","",A933/Calculator!$B$27)</f>
        <v/>
      </c>
      <c r="C933" s="15">
        <f>IF(A933="","",Calculator!$B$27-A933)</f>
        <v/>
      </c>
      <c r="D933" s="17">
        <f>IF(A933="","",(Calculator!$B$11+C933)*Calculator!$B$5)</f>
        <v/>
      </c>
      <c r="E933" s="12">
        <f>IF(A933="","",IF(Calculator!$B$17=1,ROUNDUP(D933*Calculator!$B$8/3600/Calculator!$B$24-0.000000001,0),D933*Calculator!$B$8/3600/Calculator!$B$24))</f>
        <v/>
      </c>
      <c r="F933" s="16">
        <f>IF(A933="","",IF(Calculator!$B$16=1,Calculator!$B$27,A933)*Calculator!$B$5*Calculator!$B$15)</f>
        <v/>
      </c>
      <c r="G933" s="16">
        <f>IF(A933="","",E933*Calculator!$B$6+Calculator!$C$37+F933+Calculator!$B$30)</f>
        <v/>
      </c>
      <c r="H933" s="16">
        <f>IF(A933="","",Calculator!$B$40-G933)</f>
        <v/>
      </c>
      <c r="I933" s="17">
        <f>IF(A933="","",A933*Calculator!$B$5*Calculator!$B$8/3600)</f>
        <v/>
      </c>
      <c r="J933" s="12">
        <f>IF(A933="","",Calculator!$B$35-E933)</f>
        <v/>
      </c>
    </row>
    <row r="934">
      <c r="A934" s="15">
        <f>IF(932/1000&lt;=Calculator!$B$27+0.0000001,932/1000,"")</f>
        <v/>
      </c>
      <c r="B934" s="15">
        <f>IF(A934="","",A934/Calculator!$B$27)</f>
        <v/>
      </c>
      <c r="C934" s="15">
        <f>IF(A934="","",Calculator!$B$27-A934)</f>
        <v/>
      </c>
      <c r="D934" s="17">
        <f>IF(A934="","",(Calculator!$B$11+C934)*Calculator!$B$5)</f>
        <v/>
      </c>
      <c r="E934" s="12">
        <f>IF(A934="","",IF(Calculator!$B$17=1,ROUNDUP(D934*Calculator!$B$8/3600/Calculator!$B$24-0.000000001,0),D934*Calculator!$B$8/3600/Calculator!$B$24))</f>
        <v/>
      </c>
      <c r="F934" s="16">
        <f>IF(A934="","",IF(Calculator!$B$16=1,Calculator!$B$27,A934)*Calculator!$B$5*Calculator!$B$15)</f>
        <v/>
      </c>
      <c r="G934" s="16">
        <f>IF(A934="","",E934*Calculator!$B$6+Calculator!$C$37+F934+Calculator!$B$30)</f>
        <v/>
      </c>
      <c r="H934" s="16">
        <f>IF(A934="","",Calculator!$B$40-G934)</f>
        <v/>
      </c>
      <c r="I934" s="17">
        <f>IF(A934="","",A934*Calculator!$B$5*Calculator!$B$8/3600)</f>
        <v/>
      </c>
      <c r="J934" s="12">
        <f>IF(A934="","",Calculator!$B$35-E934)</f>
        <v/>
      </c>
    </row>
    <row r="935">
      <c r="A935" s="15">
        <f>IF(933/1000&lt;=Calculator!$B$27+0.0000001,933/1000,"")</f>
        <v/>
      </c>
      <c r="B935" s="15">
        <f>IF(A935="","",A935/Calculator!$B$27)</f>
        <v/>
      </c>
      <c r="C935" s="15">
        <f>IF(A935="","",Calculator!$B$27-A935)</f>
        <v/>
      </c>
      <c r="D935" s="17">
        <f>IF(A935="","",(Calculator!$B$11+C935)*Calculator!$B$5)</f>
        <v/>
      </c>
      <c r="E935" s="12">
        <f>IF(A935="","",IF(Calculator!$B$17=1,ROUNDUP(D935*Calculator!$B$8/3600/Calculator!$B$24-0.000000001,0),D935*Calculator!$B$8/3600/Calculator!$B$24))</f>
        <v/>
      </c>
      <c r="F935" s="16">
        <f>IF(A935="","",IF(Calculator!$B$16=1,Calculator!$B$27,A935)*Calculator!$B$5*Calculator!$B$15)</f>
        <v/>
      </c>
      <c r="G935" s="16">
        <f>IF(A935="","",E935*Calculator!$B$6+Calculator!$C$37+F935+Calculator!$B$30)</f>
        <v/>
      </c>
      <c r="H935" s="16">
        <f>IF(A935="","",Calculator!$B$40-G935)</f>
        <v/>
      </c>
      <c r="I935" s="17">
        <f>IF(A935="","",A935*Calculator!$B$5*Calculator!$B$8/3600)</f>
        <v/>
      </c>
      <c r="J935" s="12">
        <f>IF(A935="","",Calculator!$B$35-E935)</f>
        <v/>
      </c>
    </row>
    <row r="936">
      <c r="A936" s="15">
        <f>IF(934/1000&lt;=Calculator!$B$27+0.0000001,934/1000,"")</f>
        <v/>
      </c>
      <c r="B936" s="15">
        <f>IF(A936="","",A936/Calculator!$B$27)</f>
        <v/>
      </c>
      <c r="C936" s="15">
        <f>IF(A936="","",Calculator!$B$27-A936)</f>
        <v/>
      </c>
      <c r="D936" s="17">
        <f>IF(A936="","",(Calculator!$B$11+C936)*Calculator!$B$5)</f>
        <v/>
      </c>
      <c r="E936" s="12">
        <f>IF(A936="","",IF(Calculator!$B$17=1,ROUNDUP(D936*Calculator!$B$8/3600/Calculator!$B$24-0.000000001,0),D936*Calculator!$B$8/3600/Calculator!$B$24))</f>
        <v/>
      </c>
      <c r="F936" s="16">
        <f>IF(A936="","",IF(Calculator!$B$16=1,Calculator!$B$27,A936)*Calculator!$B$5*Calculator!$B$15)</f>
        <v/>
      </c>
      <c r="G936" s="16">
        <f>IF(A936="","",E936*Calculator!$B$6+Calculator!$C$37+F936+Calculator!$B$30)</f>
        <v/>
      </c>
      <c r="H936" s="16">
        <f>IF(A936="","",Calculator!$B$40-G936)</f>
        <v/>
      </c>
      <c r="I936" s="17">
        <f>IF(A936="","",A936*Calculator!$B$5*Calculator!$B$8/3600)</f>
        <v/>
      </c>
      <c r="J936" s="12">
        <f>IF(A936="","",Calculator!$B$35-E936)</f>
        <v/>
      </c>
    </row>
    <row r="937">
      <c r="A937" s="15">
        <f>IF(935/1000&lt;=Calculator!$B$27+0.0000001,935/1000,"")</f>
        <v/>
      </c>
      <c r="B937" s="15">
        <f>IF(A937="","",A937/Calculator!$B$27)</f>
        <v/>
      </c>
      <c r="C937" s="15">
        <f>IF(A937="","",Calculator!$B$27-A937)</f>
        <v/>
      </c>
      <c r="D937" s="17">
        <f>IF(A937="","",(Calculator!$B$11+C937)*Calculator!$B$5)</f>
        <v/>
      </c>
      <c r="E937" s="12">
        <f>IF(A937="","",IF(Calculator!$B$17=1,ROUNDUP(D937*Calculator!$B$8/3600/Calculator!$B$24-0.000000001,0),D937*Calculator!$B$8/3600/Calculator!$B$24))</f>
        <v/>
      </c>
      <c r="F937" s="16">
        <f>IF(A937="","",IF(Calculator!$B$16=1,Calculator!$B$27,A937)*Calculator!$B$5*Calculator!$B$15)</f>
        <v/>
      </c>
      <c r="G937" s="16">
        <f>IF(A937="","",E937*Calculator!$B$6+Calculator!$C$37+F937+Calculator!$B$30)</f>
        <v/>
      </c>
      <c r="H937" s="16">
        <f>IF(A937="","",Calculator!$B$40-G937)</f>
        <v/>
      </c>
      <c r="I937" s="17">
        <f>IF(A937="","",A937*Calculator!$B$5*Calculator!$B$8/3600)</f>
        <v/>
      </c>
      <c r="J937" s="12">
        <f>IF(A937="","",Calculator!$B$35-E937)</f>
        <v/>
      </c>
    </row>
    <row r="938">
      <c r="A938" s="15">
        <f>IF(936/1000&lt;=Calculator!$B$27+0.0000001,936/1000,"")</f>
        <v/>
      </c>
      <c r="B938" s="15">
        <f>IF(A938="","",A938/Calculator!$B$27)</f>
        <v/>
      </c>
      <c r="C938" s="15">
        <f>IF(A938="","",Calculator!$B$27-A938)</f>
        <v/>
      </c>
      <c r="D938" s="17">
        <f>IF(A938="","",(Calculator!$B$11+C938)*Calculator!$B$5)</f>
        <v/>
      </c>
      <c r="E938" s="12">
        <f>IF(A938="","",IF(Calculator!$B$17=1,ROUNDUP(D938*Calculator!$B$8/3600/Calculator!$B$24-0.000000001,0),D938*Calculator!$B$8/3600/Calculator!$B$24))</f>
        <v/>
      </c>
      <c r="F938" s="16">
        <f>IF(A938="","",IF(Calculator!$B$16=1,Calculator!$B$27,A938)*Calculator!$B$5*Calculator!$B$15)</f>
        <v/>
      </c>
      <c r="G938" s="16">
        <f>IF(A938="","",E938*Calculator!$B$6+Calculator!$C$37+F938+Calculator!$B$30)</f>
        <v/>
      </c>
      <c r="H938" s="16">
        <f>IF(A938="","",Calculator!$B$40-G938)</f>
        <v/>
      </c>
      <c r="I938" s="17">
        <f>IF(A938="","",A938*Calculator!$B$5*Calculator!$B$8/3600)</f>
        <v/>
      </c>
      <c r="J938" s="12">
        <f>IF(A938="","",Calculator!$B$35-E938)</f>
        <v/>
      </c>
    </row>
    <row r="939">
      <c r="A939" s="15">
        <f>IF(937/1000&lt;=Calculator!$B$27+0.0000001,937/1000,"")</f>
        <v/>
      </c>
      <c r="B939" s="15">
        <f>IF(A939="","",A939/Calculator!$B$27)</f>
        <v/>
      </c>
      <c r="C939" s="15">
        <f>IF(A939="","",Calculator!$B$27-A939)</f>
        <v/>
      </c>
      <c r="D939" s="17">
        <f>IF(A939="","",(Calculator!$B$11+C939)*Calculator!$B$5)</f>
        <v/>
      </c>
      <c r="E939" s="12">
        <f>IF(A939="","",IF(Calculator!$B$17=1,ROUNDUP(D939*Calculator!$B$8/3600/Calculator!$B$24-0.000000001,0),D939*Calculator!$B$8/3600/Calculator!$B$24))</f>
        <v/>
      </c>
      <c r="F939" s="16">
        <f>IF(A939="","",IF(Calculator!$B$16=1,Calculator!$B$27,A939)*Calculator!$B$5*Calculator!$B$15)</f>
        <v/>
      </c>
      <c r="G939" s="16">
        <f>IF(A939="","",E939*Calculator!$B$6+Calculator!$C$37+F939+Calculator!$B$30)</f>
        <v/>
      </c>
      <c r="H939" s="16">
        <f>IF(A939="","",Calculator!$B$40-G939)</f>
        <v/>
      </c>
      <c r="I939" s="17">
        <f>IF(A939="","",A939*Calculator!$B$5*Calculator!$B$8/3600)</f>
        <v/>
      </c>
      <c r="J939" s="12">
        <f>IF(A939="","",Calculator!$B$35-E939)</f>
        <v/>
      </c>
    </row>
    <row r="940">
      <c r="A940" s="15">
        <f>IF(938/1000&lt;=Calculator!$B$27+0.0000001,938/1000,"")</f>
        <v/>
      </c>
      <c r="B940" s="15">
        <f>IF(A940="","",A940/Calculator!$B$27)</f>
        <v/>
      </c>
      <c r="C940" s="15">
        <f>IF(A940="","",Calculator!$B$27-A940)</f>
        <v/>
      </c>
      <c r="D940" s="17">
        <f>IF(A940="","",(Calculator!$B$11+C940)*Calculator!$B$5)</f>
        <v/>
      </c>
      <c r="E940" s="12">
        <f>IF(A940="","",IF(Calculator!$B$17=1,ROUNDUP(D940*Calculator!$B$8/3600/Calculator!$B$24-0.000000001,0),D940*Calculator!$B$8/3600/Calculator!$B$24))</f>
        <v/>
      </c>
      <c r="F940" s="16">
        <f>IF(A940="","",IF(Calculator!$B$16=1,Calculator!$B$27,A940)*Calculator!$B$5*Calculator!$B$15)</f>
        <v/>
      </c>
      <c r="G940" s="16">
        <f>IF(A940="","",E940*Calculator!$B$6+Calculator!$C$37+F940+Calculator!$B$30)</f>
        <v/>
      </c>
      <c r="H940" s="16">
        <f>IF(A940="","",Calculator!$B$40-G940)</f>
        <v/>
      </c>
      <c r="I940" s="17">
        <f>IF(A940="","",A940*Calculator!$B$5*Calculator!$B$8/3600)</f>
        <v/>
      </c>
      <c r="J940" s="12">
        <f>IF(A940="","",Calculator!$B$35-E940)</f>
        <v/>
      </c>
    </row>
    <row r="941">
      <c r="A941" s="15">
        <f>IF(939/1000&lt;=Calculator!$B$27+0.0000001,939/1000,"")</f>
        <v/>
      </c>
      <c r="B941" s="15">
        <f>IF(A941="","",A941/Calculator!$B$27)</f>
        <v/>
      </c>
      <c r="C941" s="15">
        <f>IF(A941="","",Calculator!$B$27-A941)</f>
        <v/>
      </c>
      <c r="D941" s="17">
        <f>IF(A941="","",(Calculator!$B$11+C941)*Calculator!$B$5)</f>
        <v/>
      </c>
      <c r="E941" s="12">
        <f>IF(A941="","",IF(Calculator!$B$17=1,ROUNDUP(D941*Calculator!$B$8/3600/Calculator!$B$24-0.000000001,0),D941*Calculator!$B$8/3600/Calculator!$B$24))</f>
        <v/>
      </c>
      <c r="F941" s="16">
        <f>IF(A941="","",IF(Calculator!$B$16=1,Calculator!$B$27,A941)*Calculator!$B$5*Calculator!$B$15)</f>
        <v/>
      </c>
      <c r="G941" s="16">
        <f>IF(A941="","",E941*Calculator!$B$6+Calculator!$C$37+F941+Calculator!$B$30)</f>
        <v/>
      </c>
      <c r="H941" s="16">
        <f>IF(A941="","",Calculator!$B$40-G941)</f>
        <v/>
      </c>
      <c r="I941" s="17">
        <f>IF(A941="","",A941*Calculator!$B$5*Calculator!$B$8/3600)</f>
        <v/>
      </c>
      <c r="J941" s="12">
        <f>IF(A941="","",Calculator!$B$35-E941)</f>
        <v/>
      </c>
    </row>
    <row r="942">
      <c r="A942" s="15">
        <f>IF(940/1000&lt;=Calculator!$B$27+0.0000001,940/1000,"")</f>
        <v/>
      </c>
      <c r="B942" s="15">
        <f>IF(A942="","",A942/Calculator!$B$27)</f>
        <v/>
      </c>
      <c r="C942" s="15">
        <f>IF(A942="","",Calculator!$B$27-A942)</f>
        <v/>
      </c>
      <c r="D942" s="17">
        <f>IF(A942="","",(Calculator!$B$11+C942)*Calculator!$B$5)</f>
        <v/>
      </c>
      <c r="E942" s="12">
        <f>IF(A942="","",IF(Calculator!$B$17=1,ROUNDUP(D942*Calculator!$B$8/3600/Calculator!$B$24-0.000000001,0),D942*Calculator!$B$8/3600/Calculator!$B$24))</f>
        <v/>
      </c>
      <c r="F942" s="16">
        <f>IF(A942="","",IF(Calculator!$B$16=1,Calculator!$B$27,A942)*Calculator!$B$5*Calculator!$B$15)</f>
        <v/>
      </c>
      <c r="G942" s="16">
        <f>IF(A942="","",E942*Calculator!$B$6+Calculator!$C$37+F942+Calculator!$B$30)</f>
        <v/>
      </c>
      <c r="H942" s="16">
        <f>IF(A942="","",Calculator!$B$40-G942)</f>
        <v/>
      </c>
      <c r="I942" s="17">
        <f>IF(A942="","",A942*Calculator!$B$5*Calculator!$B$8/3600)</f>
        <v/>
      </c>
      <c r="J942" s="12">
        <f>IF(A942="","",Calculator!$B$35-E942)</f>
        <v/>
      </c>
    </row>
    <row r="943">
      <c r="A943" s="15">
        <f>IF(941/1000&lt;=Calculator!$B$27+0.0000001,941/1000,"")</f>
        <v/>
      </c>
      <c r="B943" s="15">
        <f>IF(A943="","",A943/Calculator!$B$27)</f>
        <v/>
      </c>
      <c r="C943" s="15">
        <f>IF(A943="","",Calculator!$B$27-A943)</f>
        <v/>
      </c>
      <c r="D943" s="17">
        <f>IF(A943="","",(Calculator!$B$11+C943)*Calculator!$B$5)</f>
        <v/>
      </c>
      <c r="E943" s="12">
        <f>IF(A943="","",IF(Calculator!$B$17=1,ROUNDUP(D943*Calculator!$B$8/3600/Calculator!$B$24-0.000000001,0),D943*Calculator!$B$8/3600/Calculator!$B$24))</f>
        <v/>
      </c>
      <c r="F943" s="16">
        <f>IF(A943="","",IF(Calculator!$B$16=1,Calculator!$B$27,A943)*Calculator!$B$5*Calculator!$B$15)</f>
        <v/>
      </c>
      <c r="G943" s="16">
        <f>IF(A943="","",E943*Calculator!$B$6+Calculator!$C$37+F943+Calculator!$B$30)</f>
        <v/>
      </c>
      <c r="H943" s="16">
        <f>IF(A943="","",Calculator!$B$40-G943)</f>
        <v/>
      </c>
      <c r="I943" s="17">
        <f>IF(A943="","",A943*Calculator!$B$5*Calculator!$B$8/3600)</f>
        <v/>
      </c>
      <c r="J943" s="12">
        <f>IF(A943="","",Calculator!$B$35-E943)</f>
        <v/>
      </c>
    </row>
    <row r="944">
      <c r="A944" s="15">
        <f>IF(942/1000&lt;=Calculator!$B$27+0.0000001,942/1000,"")</f>
        <v/>
      </c>
      <c r="B944" s="15">
        <f>IF(A944="","",A944/Calculator!$B$27)</f>
        <v/>
      </c>
      <c r="C944" s="15">
        <f>IF(A944="","",Calculator!$B$27-A944)</f>
        <v/>
      </c>
      <c r="D944" s="17">
        <f>IF(A944="","",(Calculator!$B$11+C944)*Calculator!$B$5)</f>
        <v/>
      </c>
      <c r="E944" s="12">
        <f>IF(A944="","",IF(Calculator!$B$17=1,ROUNDUP(D944*Calculator!$B$8/3600/Calculator!$B$24-0.000000001,0),D944*Calculator!$B$8/3600/Calculator!$B$24))</f>
        <v/>
      </c>
      <c r="F944" s="16">
        <f>IF(A944="","",IF(Calculator!$B$16=1,Calculator!$B$27,A944)*Calculator!$B$5*Calculator!$B$15)</f>
        <v/>
      </c>
      <c r="G944" s="16">
        <f>IF(A944="","",E944*Calculator!$B$6+Calculator!$C$37+F944+Calculator!$B$30)</f>
        <v/>
      </c>
      <c r="H944" s="16">
        <f>IF(A944="","",Calculator!$B$40-G944)</f>
        <v/>
      </c>
      <c r="I944" s="17">
        <f>IF(A944="","",A944*Calculator!$B$5*Calculator!$B$8/3600)</f>
        <v/>
      </c>
      <c r="J944" s="12">
        <f>IF(A944="","",Calculator!$B$35-E944)</f>
        <v/>
      </c>
    </row>
    <row r="945">
      <c r="A945" s="15">
        <f>IF(943/1000&lt;=Calculator!$B$27+0.0000001,943/1000,"")</f>
        <v/>
      </c>
      <c r="B945" s="15">
        <f>IF(A945="","",A945/Calculator!$B$27)</f>
        <v/>
      </c>
      <c r="C945" s="15">
        <f>IF(A945="","",Calculator!$B$27-A945)</f>
        <v/>
      </c>
      <c r="D945" s="17">
        <f>IF(A945="","",(Calculator!$B$11+C945)*Calculator!$B$5)</f>
        <v/>
      </c>
      <c r="E945" s="12">
        <f>IF(A945="","",IF(Calculator!$B$17=1,ROUNDUP(D945*Calculator!$B$8/3600/Calculator!$B$24-0.000000001,0),D945*Calculator!$B$8/3600/Calculator!$B$24))</f>
        <v/>
      </c>
      <c r="F945" s="16">
        <f>IF(A945="","",IF(Calculator!$B$16=1,Calculator!$B$27,A945)*Calculator!$B$5*Calculator!$B$15)</f>
        <v/>
      </c>
      <c r="G945" s="16">
        <f>IF(A945="","",E945*Calculator!$B$6+Calculator!$C$37+F945+Calculator!$B$30)</f>
        <v/>
      </c>
      <c r="H945" s="16">
        <f>IF(A945="","",Calculator!$B$40-G945)</f>
        <v/>
      </c>
      <c r="I945" s="17">
        <f>IF(A945="","",A945*Calculator!$B$5*Calculator!$B$8/3600)</f>
        <v/>
      </c>
      <c r="J945" s="12">
        <f>IF(A945="","",Calculator!$B$35-E945)</f>
        <v/>
      </c>
    </row>
    <row r="946">
      <c r="A946" s="15">
        <f>IF(944/1000&lt;=Calculator!$B$27+0.0000001,944/1000,"")</f>
        <v/>
      </c>
      <c r="B946" s="15">
        <f>IF(A946="","",A946/Calculator!$B$27)</f>
        <v/>
      </c>
      <c r="C946" s="15">
        <f>IF(A946="","",Calculator!$B$27-A946)</f>
        <v/>
      </c>
      <c r="D946" s="17">
        <f>IF(A946="","",(Calculator!$B$11+C946)*Calculator!$B$5)</f>
        <v/>
      </c>
      <c r="E946" s="12">
        <f>IF(A946="","",IF(Calculator!$B$17=1,ROUNDUP(D946*Calculator!$B$8/3600/Calculator!$B$24-0.000000001,0),D946*Calculator!$B$8/3600/Calculator!$B$24))</f>
        <v/>
      </c>
      <c r="F946" s="16">
        <f>IF(A946="","",IF(Calculator!$B$16=1,Calculator!$B$27,A946)*Calculator!$B$5*Calculator!$B$15)</f>
        <v/>
      </c>
      <c r="G946" s="16">
        <f>IF(A946="","",E946*Calculator!$B$6+Calculator!$C$37+F946+Calculator!$B$30)</f>
        <v/>
      </c>
      <c r="H946" s="16">
        <f>IF(A946="","",Calculator!$B$40-G946)</f>
        <v/>
      </c>
      <c r="I946" s="17">
        <f>IF(A946="","",A946*Calculator!$B$5*Calculator!$B$8/3600)</f>
        <v/>
      </c>
      <c r="J946" s="12">
        <f>IF(A946="","",Calculator!$B$35-E946)</f>
        <v/>
      </c>
    </row>
    <row r="947">
      <c r="A947" s="15">
        <f>IF(945/1000&lt;=Calculator!$B$27+0.0000001,945/1000,"")</f>
        <v/>
      </c>
      <c r="B947" s="15">
        <f>IF(A947="","",A947/Calculator!$B$27)</f>
        <v/>
      </c>
      <c r="C947" s="15">
        <f>IF(A947="","",Calculator!$B$27-A947)</f>
        <v/>
      </c>
      <c r="D947" s="17">
        <f>IF(A947="","",(Calculator!$B$11+C947)*Calculator!$B$5)</f>
        <v/>
      </c>
      <c r="E947" s="12">
        <f>IF(A947="","",IF(Calculator!$B$17=1,ROUNDUP(D947*Calculator!$B$8/3600/Calculator!$B$24-0.000000001,0),D947*Calculator!$B$8/3600/Calculator!$B$24))</f>
        <v/>
      </c>
      <c r="F947" s="16">
        <f>IF(A947="","",IF(Calculator!$B$16=1,Calculator!$B$27,A947)*Calculator!$B$5*Calculator!$B$15)</f>
        <v/>
      </c>
      <c r="G947" s="16">
        <f>IF(A947="","",E947*Calculator!$B$6+Calculator!$C$37+F947+Calculator!$B$30)</f>
        <v/>
      </c>
      <c r="H947" s="16">
        <f>IF(A947="","",Calculator!$B$40-G947)</f>
        <v/>
      </c>
      <c r="I947" s="17">
        <f>IF(A947="","",A947*Calculator!$B$5*Calculator!$B$8/3600)</f>
        <v/>
      </c>
      <c r="J947" s="12">
        <f>IF(A947="","",Calculator!$B$35-E947)</f>
        <v/>
      </c>
    </row>
    <row r="948">
      <c r="A948" s="15">
        <f>IF(946/1000&lt;=Calculator!$B$27+0.0000001,946/1000,"")</f>
        <v/>
      </c>
      <c r="B948" s="15">
        <f>IF(A948="","",A948/Calculator!$B$27)</f>
        <v/>
      </c>
      <c r="C948" s="15">
        <f>IF(A948="","",Calculator!$B$27-A948)</f>
        <v/>
      </c>
      <c r="D948" s="17">
        <f>IF(A948="","",(Calculator!$B$11+C948)*Calculator!$B$5)</f>
        <v/>
      </c>
      <c r="E948" s="12">
        <f>IF(A948="","",IF(Calculator!$B$17=1,ROUNDUP(D948*Calculator!$B$8/3600/Calculator!$B$24-0.000000001,0),D948*Calculator!$B$8/3600/Calculator!$B$24))</f>
        <v/>
      </c>
      <c r="F948" s="16">
        <f>IF(A948="","",IF(Calculator!$B$16=1,Calculator!$B$27,A948)*Calculator!$B$5*Calculator!$B$15)</f>
        <v/>
      </c>
      <c r="G948" s="16">
        <f>IF(A948="","",E948*Calculator!$B$6+Calculator!$C$37+F948+Calculator!$B$30)</f>
        <v/>
      </c>
      <c r="H948" s="16">
        <f>IF(A948="","",Calculator!$B$40-G948)</f>
        <v/>
      </c>
      <c r="I948" s="17">
        <f>IF(A948="","",A948*Calculator!$B$5*Calculator!$B$8/3600)</f>
        <v/>
      </c>
      <c r="J948" s="12">
        <f>IF(A948="","",Calculator!$B$35-E948)</f>
        <v/>
      </c>
    </row>
    <row r="949">
      <c r="A949" s="15">
        <f>IF(947/1000&lt;=Calculator!$B$27+0.0000001,947/1000,"")</f>
        <v/>
      </c>
      <c r="B949" s="15">
        <f>IF(A949="","",A949/Calculator!$B$27)</f>
        <v/>
      </c>
      <c r="C949" s="15">
        <f>IF(A949="","",Calculator!$B$27-A949)</f>
        <v/>
      </c>
      <c r="D949" s="17">
        <f>IF(A949="","",(Calculator!$B$11+C949)*Calculator!$B$5)</f>
        <v/>
      </c>
      <c r="E949" s="12">
        <f>IF(A949="","",IF(Calculator!$B$17=1,ROUNDUP(D949*Calculator!$B$8/3600/Calculator!$B$24-0.000000001,0),D949*Calculator!$B$8/3600/Calculator!$B$24))</f>
        <v/>
      </c>
      <c r="F949" s="16">
        <f>IF(A949="","",IF(Calculator!$B$16=1,Calculator!$B$27,A949)*Calculator!$B$5*Calculator!$B$15)</f>
        <v/>
      </c>
      <c r="G949" s="16">
        <f>IF(A949="","",E949*Calculator!$B$6+Calculator!$C$37+F949+Calculator!$B$30)</f>
        <v/>
      </c>
      <c r="H949" s="16">
        <f>IF(A949="","",Calculator!$B$40-G949)</f>
        <v/>
      </c>
      <c r="I949" s="17">
        <f>IF(A949="","",A949*Calculator!$B$5*Calculator!$B$8/3600)</f>
        <v/>
      </c>
      <c r="J949" s="12">
        <f>IF(A949="","",Calculator!$B$35-E949)</f>
        <v/>
      </c>
    </row>
    <row r="950">
      <c r="A950" s="15">
        <f>IF(948/1000&lt;=Calculator!$B$27+0.0000001,948/1000,"")</f>
        <v/>
      </c>
      <c r="B950" s="15">
        <f>IF(A950="","",A950/Calculator!$B$27)</f>
        <v/>
      </c>
      <c r="C950" s="15">
        <f>IF(A950="","",Calculator!$B$27-A950)</f>
        <v/>
      </c>
      <c r="D950" s="17">
        <f>IF(A950="","",(Calculator!$B$11+C950)*Calculator!$B$5)</f>
        <v/>
      </c>
      <c r="E950" s="12">
        <f>IF(A950="","",IF(Calculator!$B$17=1,ROUNDUP(D950*Calculator!$B$8/3600/Calculator!$B$24-0.000000001,0),D950*Calculator!$B$8/3600/Calculator!$B$24))</f>
        <v/>
      </c>
      <c r="F950" s="16">
        <f>IF(A950="","",IF(Calculator!$B$16=1,Calculator!$B$27,A950)*Calculator!$B$5*Calculator!$B$15)</f>
        <v/>
      </c>
      <c r="G950" s="16">
        <f>IF(A950="","",E950*Calculator!$B$6+Calculator!$C$37+F950+Calculator!$B$30)</f>
        <v/>
      </c>
      <c r="H950" s="16">
        <f>IF(A950="","",Calculator!$B$40-G950)</f>
        <v/>
      </c>
      <c r="I950" s="17">
        <f>IF(A950="","",A950*Calculator!$B$5*Calculator!$B$8/3600)</f>
        <v/>
      </c>
      <c r="J950" s="12">
        <f>IF(A950="","",Calculator!$B$35-E950)</f>
        <v/>
      </c>
    </row>
    <row r="951">
      <c r="A951" s="15">
        <f>IF(949/1000&lt;=Calculator!$B$27+0.0000001,949/1000,"")</f>
        <v/>
      </c>
      <c r="B951" s="15">
        <f>IF(A951="","",A951/Calculator!$B$27)</f>
        <v/>
      </c>
      <c r="C951" s="15">
        <f>IF(A951="","",Calculator!$B$27-A951)</f>
        <v/>
      </c>
      <c r="D951" s="17">
        <f>IF(A951="","",(Calculator!$B$11+C951)*Calculator!$B$5)</f>
        <v/>
      </c>
      <c r="E951" s="12">
        <f>IF(A951="","",IF(Calculator!$B$17=1,ROUNDUP(D951*Calculator!$B$8/3600/Calculator!$B$24-0.000000001,0),D951*Calculator!$B$8/3600/Calculator!$B$24))</f>
        <v/>
      </c>
      <c r="F951" s="16">
        <f>IF(A951="","",IF(Calculator!$B$16=1,Calculator!$B$27,A951)*Calculator!$B$5*Calculator!$B$15)</f>
        <v/>
      </c>
      <c r="G951" s="16">
        <f>IF(A951="","",E951*Calculator!$B$6+Calculator!$C$37+F951+Calculator!$B$30)</f>
        <v/>
      </c>
      <c r="H951" s="16">
        <f>IF(A951="","",Calculator!$B$40-G951)</f>
        <v/>
      </c>
      <c r="I951" s="17">
        <f>IF(A951="","",A951*Calculator!$B$5*Calculator!$B$8/3600)</f>
        <v/>
      </c>
      <c r="J951" s="12">
        <f>IF(A951="","",Calculator!$B$35-E951)</f>
        <v/>
      </c>
    </row>
    <row r="952">
      <c r="A952" s="15">
        <f>IF(950/1000&lt;=Calculator!$B$27+0.0000001,950/1000,"")</f>
        <v/>
      </c>
      <c r="B952" s="15">
        <f>IF(A952="","",A952/Calculator!$B$27)</f>
        <v/>
      </c>
      <c r="C952" s="15">
        <f>IF(A952="","",Calculator!$B$27-A952)</f>
        <v/>
      </c>
      <c r="D952" s="17">
        <f>IF(A952="","",(Calculator!$B$11+C952)*Calculator!$B$5)</f>
        <v/>
      </c>
      <c r="E952" s="12">
        <f>IF(A952="","",IF(Calculator!$B$17=1,ROUNDUP(D952*Calculator!$B$8/3600/Calculator!$B$24-0.000000001,0),D952*Calculator!$B$8/3600/Calculator!$B$24))</f>
        <v/>
      </c>
      <c r="F952" s="16">
        <f>IF(A952="","",IF(Calculator!$B$16=1,Calculator!$B$27,A952)*Calculator!$B$5*Calculator!$B$15)</f>
        <v/>
      </c>
      <c r="G952" s="16">
        <f>IF(A952="","",E952*Calculator!$B$6+Calculator!$C$37+F952+Calculator!$B$30)</f>
        <v/>
      </c>
      <c r="H952" s="16">
        <f>IF(A952="","",Calculator!$B$40-G952)</f>
        <v/>
      </c>
      <c r="I952" s="17">
        <f>IF(A952="","",A952*Calculator!$B$5*Calculator!$B$8/3600)</f>
        <v/>
      </c>
      <c r="J952" s="12">
        <f>IF(A952="","",Calculator!$B$35-E952)</f>
        <v/>
      </c>
    </row>
    <row r="953">
      <c r="A953" s="15">
        <f>IF(951/1000&lt;=Calculator!$B$27+0.0000001,951/1000,"")</f>
        <v/>
      </c>
      <c r="B953" s="15">
        <f>IF(A953="","",A953/Calculator!$B$27)</f>
        <v/>
      </c>
      <c r="C953" s="15">
        <f>IF(A953="","",Calculator!$B$27-A953)</f>
        <v/>
      </c>
      <c r="D953" s="17">
        <f>IF(A953="","",(Calculator!$B$11+C953)*Calculator!$B$5)</f>
        <v/>
      </c>
      <c r="E953" s="12">
        <f>IF(A953="","",IF(Calculator!$B$17=1,ROUNDUP(D953*Calculator!$B$8/3600/Calculator!$B$24-0.000000001,0),D953*Calculator!$B$8/3600/Calculator!$B$24))</f>
        <v/>
      </c>
      <c r="F953" s="16">
        <f>IF(A953="","",IF(Calculator!$B$16=1,Calculator!$B$27,A953)*Calculator!$B$5*Calculator!$B$15)</f>
        <v/>
      </c>
      <c r="G953" s="16">
        <f>IF(A953="","",E953*Calculator!$B$6+Calculator!$C$37+F953+Calculator!$B$30)</f>
        <v/>
      </c>
      <c r="H953" s="16">
        <f>IF(A953="","",Calculator!$B$40-G953)</f>
        <v/>
      </c>
      <c r="I953" s="17">
        <f>IF(A953="","",A953*Calculator!$B$5*Calculator!$B$8/3600)</f>
        <v/>
      </c>
      <c r="J953" s="12">
        <f>IF(A953="","",Calculator!$B$35-E953)</f>
        <v/>
      </c>
    </row>
    <row r="954">
      <c r="A954" s="15">
        <f>IF(952/1000&lt;=Calculator!$B$27+0.0000001,952/1000,"")</f>
        <v/>
      </c>
      <c r="B954" s="15">
        <f>IF(A954="","",A954/Calculator!$B$27)</f>
        <v/>
      </c>
      <c r="C954" s="15">
        <f>IF(A954="","",Calculator!$B$27-A954)</f>
        <v/>
      </c>
      <c r="D954" s="17">
        <f>IF(A954="","",(Calculator!$B$11+C954)*Calculator!$B$5)</f>
        <v/>
      </c>
      <c r="E954" s="12">
        <f>IF(A954="","",IF(Calculator!$B$17=1,ROUNDUP(D954*Calculator!$B$8/3600/Calculator!$B$24-0.000000001,0),D954*Calculator!$B$8/3600/Calculator!$B$24))</f>
        <v/>
      </c>
      <c r="F954" s="16">
        <f>IF(A954="","",IF(Calculator!$B$16=1,Calculator!$B$27,A954)*Calculator!$B$5*Calculator!$B$15)</f>
        <v/>
      </c>
      <c r="G954" s="16">
        <f>IF(A954="","",E954*Calculator!$B$6+Calculator!$C$37+F954+Calculator!$B$30)</f>
        <v/>
      </c>
      <c r="H954" s="16">
        <f>IF(A954="","",Calculator!$B$40-G954)</f>
        <v/>
      </c>
      <c r="I954" s="17">
        <f>IF(A954="","",A954*Calculator!$B$5*Calculator!$B$8/3600)</f>
        <v/>
      </c>
      <c r="J954" s="12">
        <f>IF(A954="","",Calculator!$B$35-E954)</f>
        <v/>
      </c>
    </row>
    <row r="955">
      <c r="A955" s="15">
        <f>IF(953/1000&lt;=Calculator!$B$27+0.0000001,953/1000,"")</f>
        <v/>
      </c>
      <c r="B955" s="15">
        <f>IF(A955="","",A955/Calculator!$B$27)</f>
        <v/>
      </c>
      <c r="C955" s="15">
        <f>IF(A955="","",Calculator!$B$27-A955)</f>
        <v/>
      </c>
      <c r="D955" s="17">
        <f>IF(A955="","",(Calculator!$B$11+C955)*Calculator!$B$5)</f>
        <v/>
      </c>
      <c r="E955" s="12">
        <f>IF(A955="","",IF(Calculator!$B$17=1,ROUNDUP(D955*Calculator!$B$8/3600/Calculator!$B$24-0.000000001,0),D955*Calculator!$B$8/3600/Calculator!$B$24))</f>
        <v/>
      </c>
      <c r="F955" s="16">
        <f>IF(A955="","",IF(Calculator!$B$16=1,Calculator!$B$27,A955)*Calculator!$B$5*Calculator!$B$15)</f>
        <v/>
      </c>
      <c r="G955" s="16">
        <f>IF(A955="","",E955*Calculator!$B$6+Calculator!$C$37+F955+Calculator!$B$30)</f>
        <v/>
      </c>
      <c r="H955" s="16">
        <f>IF(A955="","",Calculator!$B$40-G955)</f>
        <v/>
      </c>
      <c r="I955" s="17">
        <f>IF(A955="","",A955*Calculator!$B$5*Calculator!$B$8/3600)</f>
        <v/>
      </c>
      <c r="J955" s="12">
        <f>IF(A955="","",Calculator!$B$35-E955)</f>
        <v/>
      </c>
    </row>
    <row r="956">
      <c r="A956" s="15">
        <f>IF(954/1000&lt;=Calculator!$B$27+0.0000001,954/1000,"")</f>
        <v/>
      </c>
      <c r="B956" s="15">
        <f>IF(A956="","",A956/Calculator!$B$27)</f>
        <v/>
      </c>
      <c r="C956" s="15">
        <f>IF(A956="","",Calculator!$B$27-A956)</f>
        <v/>
      </c>
      <c r="D956" s="17">
        <f>IF(A956="","",(Calculator!$B$11+C956)*Calculator!$B$5)</f>
        <v/>
      </c>
      <c r="E956" s="12">
        <f>IF(A956="","",IF(Calculator!$B$17=1,ROUNDUP(D956*Calculator!$B$8/3600/Calculator!$B$24-0.000000001,0),D956*Calculator!$B$8/3600/Calculator!$B$24))</f>
        <v/>
      </c>
      <c r="F956" s="16">
        <f>IF(A956="","",IF(Calculator!$B$16=1,Calculator!$B$27,A956)*Calculator!$B$5*Calculator!$B$15)</f>
        <v/>
      </c>
      <c r="G956" s="16">
        <f>IF(A956="","",E956*Calculator!$B$6+Calculator!$C$37+F956+Calculator!$B$30)</f>
        <v/>
      </c>
      <c r="H956" s="16">
        <f>IF(A956="","",Calculator!$B$40-G956)</f>
        <v/>
      </c>
      <c r="I956" s="17">
        <f>IF(A956="","",A956*Calculator!$B$5*Calculator!$B$8/3600)</f>
        <v/>
      </c>
      <c r="J956" s="12">
        <f>IF(A956="","",Calculator!$B$35-E956)</f>
        <v/>
      </c>
    </row>
    <row r="957">
      <c r="A957" s="15">
        <f>IF(955/1000&lt;=Calculator!$B$27+0.0000001,955/1000,"")</f>
        <v/>
      </c>
      <c r="B957" s="15">
        <f>IF(A957="","",A957/Calculator!$B$27)</f>
        <v/>
      </c>
      <c r="C957" s="15">
        <f>IF(A957="","",Calculator!$B$27-A957)</f>
        <v/>
      </c>
      <c r="D957" s="17">
        <f>IF(A957="","",(Calculator!$B$11+C957)*Calculator!$B$5)</f>
        <v/>
      </c>
      <c r="E957" s="12">
        <f>IF(A957="","",IF(Calculator!$B$17=1,ROUNDUP(D957*Calculator!$B$8/3600/Calculator!$B$24-0.000000001,0),D957*Calculator!$B$8/3600/Calculator!$B$24))</f>
        <v/>
      </c>
      <c r="F957" s="16">
        <f>IF(A957="","",IF(Calculator!$B$16=1,Calculator!$B$27,A957)*Calculator!$B$5*Calculator!$B$15)</f>
        <v/>
      </c>
      <c r="G957" s="16">
        <f>IF(A957="","",E957*Calculator!$B$6+Calculator!$C$37+F957+Calculator!$B$30)</f>
        <v/>
      </c>
      <c r="H957" s="16">
        <f>IF(A957="","",Calculator!$B$40-G957)</f>
        <v/>
      </c>
      <c r="I957" s="17">
        <f>IF(A957="","",A957*Calculator!$B$5*Calculator!$B$8/3600)</f>
        <v/>
      </c>
      <c r="J957" s="12">
        <f>IF(A957="","",Calculator!$B$35-E957)</f>
        <v/>
      </c>
    </row>
    <row r="958">
      <c r="A958" s="15">
        <f>IF(956/1000&lt;=Calculator!$B$27+0.0000001,956/1000,"")</f>
        <v/>
      </c>
      <c r="B958" s="15">
        <f>IF(A958="","",A958/Calculator!$B$27)</f>
        <v/>
      </c>
      <c r="C958" s="15">
        <f>IF(A958="","",Calculator!$B$27-A958)</f>
        <v/>
      </c>
      <c r="D958" s="17">
        <f>IF(A958="","",(Calculator!$B$11+C958)*Calculator!$B$5)</f>
        <v/>
      </c>
      <c r="E958" s="12">
        <f>IF(A958="","",IF(Calculator!$B$17=1,ROUNDUP(D958*Calculator!$B$8/3600/Calculator!$B$24-0.000000001,0),D958*Calculator!$B$8/3600/Calculator!$B$24))</f>
        <v/>
      </c>
      <c r="F958" s="16">
        <f>IF(A958="","",IF(Calculator!$B$16=1,Calculator!$B$27,A958)*Calculator!$B$5*Calculator!$B$15)</f>
        <v/>
      </c>
      <c r="G958" s="16">
        <f>IF(A958="","",E958*Calculator!$B$6+Calculator!$C$37+F958+Calculator!$B$30)</f>
        <v/>
      </c>
      <c r="H958" s="16">
        <f>IF(A958="","",Calculator!$B$40-G958)</f>
        <v/>
      </c>
      <c r="I958" s="17">
        <f>IF(A958="","",A958*Calculator!$B$5*Calculator!$B$8/3600)</f>
        <v/>
      </c>
      <c r="J958" s="12">
        <f>IF(A958="","",Calculator!$B$35-E958)</f>
        <v/>
      </c>
    </row>
    <row r="959">
      <c r="A959" s="15">
        <f>IF(957/1000&lt;=Calculator!$B$27+0.0000001,957/1000,"")</f>
        <v/>
      </c>
      <c r="B959" s="15">
        <f>IF(A959="","",A959/Calculator!$B$27)</f>
        <v/>
      </c>
      <c r="C959" s="15">
        <f>IF(A959="","",Calculator!$B$27-A959)</f>
        <v/>
      </c>
      <c r="D959" s="17">
        <f>IF(A959="","",(Calculator!$B$11+C959)*Calculator!$B$5)</f>
        <v/>
      </c>
      <c r="E959" s="12">
        <f>IF(A959="","",IF(Calculator!$B$17=1,ROUNDUP(D959*Calculator!$B$8/3600/Calculator!$B$24-0.000000001,0),D959*Calculator!$B$8/3600/Calculator!$B$24))</f>
        <v/>
      </c>
      <c r="F959" s="16">
        <f>IF(A959="","",IF(Calculator!$B$16=1,Calculator!$B$27,A959)*Calculator!$B$5*Calculator!$B$15)</f>
        <v/>
      </c>
      <c r="G959" s="16">
        <f>IF(A959="","",E959*Calculator!$B$6+Calculator!$C$37+F959+Calculator!$B$30)</f>
        <v/>
      </c>
      <c r="H959" s="16">
        <f>IF(A959="","",Calculator!$B$40-G959)</f>
        <v/>
      </c>
      <c r="I959" s="17">
        <f>IF(A959="","",A959*Calculator!$B$5*Calculator!$B$8/3600)</f>
        <v/>
      </c>
      <c r="J959" s="12">
        <f>IF(A959="","",Calculator!$B$35-E959)</f>
        <v/>
      </c>
    </row>
    <row r="960">
      <c r="A960" s="15">
        <f>IF(958/1000&lt;=Calculator!$B$27+0.0000001,958/1000,"")</f>
        <v/>
      </c>
      <c r="B960" s="15">
        <f>IF(A960="","",A960/Calculator!$B$27)</f>
        <v/>
      </c>
      <c r="C960" s="15">
        <f>IF(A960="","",Calculator!$B$27-A960)</f>
        <v/>
      </c>
      <c r="D960" s="17">
        <f>IF(A960="","",(Calculator!$B$11+C960)*Calculator!$B$5)</f>
        <v/>
      </c>
      <c r="E960" s="12">
        <f>IF(A960="","",IF(Calculator!$B$17=1,ROUNDUP(D960*Calculator!$B$8/3600/Calculator!$B$24-0.000000001,0),D960*Calculator!$B$8/3600/Calculator!$B$24))</f>
        <v/>
      </c>
      <c r="F960" s="16">
        <f>IF(A960="","",IF(Calculator!$B$16=1,Calculator!$B$27,A960)*Calculator!$B$5*Calculator!$B$15)</f>
        <v/>
      </c>
      <c r="G960" s="16">
        <f>IF(A960="","",E960*Calculator!$B$6+Calculator!$C$37+F960+Calculator!$B$30)</f>
        <v/>
      </c>
      <c r="H960" s="16">
        <f>IF(A960="","",Calculator!$B$40-G960)</f>
        <v/>
      </c>
      <c r="I960" s="17">
        <f>IF(A960="","",A960*Calculator!$B$5*Calculator!$B$8/3600)</f>
        <v/>
      </c>
      <c r="J960" s="12">
        <f>IF(A960="","",Calculator!$B$35-E960)</f>
        <v/>
      </c>
    </row>
    <row r="961">
      <c r="A961" s="15">
        <f>IF(959/1000&lt;=Calculator!$B$27+0.0000001,959/1000,"")</f>
        <v/>
      </c>
      <c r="B961" s="15">
        <f>IF(A961="","",A961/Calculator!$B$27)</f>
        <v/>
      </c>
      <c r="C961" s="15">
        <f>IF(A961="","",Calculator!$B$27-A961)</f>
        <v/>
      </c>
      <c r="D961" s="17">
        <f>IF(A961="","",(Calculator!$B$11+C961)*Calculator!$B$5)</f>
        <v/>
      </c>
      <c r="E961" s="12">
        <f>IF(A961="","",IF(Calculator!$B$17=1,ROUNDUP(D961*Calculator!$B$8/3600/Calculator!$B$24-0.000000001,0),D961*Calculator!$B$8/3600/Calculator!$B$24))</f>
        <v/>
      </c>
      <c r="F961" s="16">
        <f>IF(A961="","",IF(Calculator!$B$16=1,Calculator!$B$27,A961)*Calculator!$B$5*Calculator!$B$15)</f>
        <v/>
      </c>
      <c r="G961" s="16">
        <f>IF(A961="","",E961*Calculator!$B$6+Calculator!$C$37+F961+Calculator!$B$30)</f>
        <v/>
      </c>
      <c r="H961" s="16">
        <f>IF(A961="","",Calculator!$B$40-G961)</f>
        <v/>
      </c>
      <c r="I961" s="17">
        <f>IF(A961="","",A961*Calculator!$B$5*Calculator!$B$8/3600)</f>
        <v/>
      </c>
      <c r="J961" s="12">
        <f>IF(A961="","",Calculator!$B$35-E961)</f>
        <v/>
      </c>
    </row>
    <row r="962">
      <c r="A962" s="15">
        <f>IF(960/1000&lt;=Calculator!$B$27+0.0000001,960/1000,"")</f>
        <v/>
      </c>
      <c r="B962" s="15">
        <f>IF(A962="","",A962/Calculator!$B$27)</f>
        <v/>
      </c>
      <c r="C962" s="15">
        <f>IF(A962="","",Calculator!$B$27-A962)</f>
        <v/>
      </c>
      <c r="D962" s="17">
        <f>IF(A962="","",(Calculator!$B$11+C962)*Calculator!$B$5)</f>
        <v/>
      </c>
      <c r="E962" s="12">
        <f>IF(A962="","",IF(Calculator!$B$17=1,ROUNDUP(D962*Calculator!$B$8/3600/Calculator!$B$24-0.000000001,0),D962*Calculator!$B$8/3600/Calculator!$B$24))</f>
        <v/>
      </c>
      <c r="F962" s="16">
        <f>IF(A962="","",IF(Calculator!$B$16=1,Calculator!$B$27,A962)*Calculator!$B$5*Calculator!$B$15)</f>
        <v/>
      </c>
      <c r="G962" s="16">
        <f>IF(A962="","",E962*Calculator!$B$6+Calculator!$C$37+F962+Calculator!$B$30)</f>
        <v/>
      </c>
      <c r="H962" s="16">
        <f>IF(A962="","",Calculator!$B$40-G962)</f>
        <v/>
      </c>
      <c r="I962" s="17">
        <f>IF(A962="","",A962*Calculator!$B$5*Calculator!$B$8/3600)</f>
        <v/>
      </c>
      <c r="J962" s="12">
        <f>IF(A962="","",Calculator!$B$35-E962)</f>
        <v/>
      </c>
    </row>
    <row r="963">
      <c r="A963" s="15">
        <f>IF(961/1000&lt;=Calculator!$B$27+0.0000001,961/1000,"")</f>
        <v/>
      </c>
      <c r="B963" s="15">
        <f>IF(A963="","",A963/Calculator!$B$27)</f>
        <v/>
      </c>
      <c r="C963" s="15">
        <f>IF(A963="","",Calculator!$B$27-A963)</f>
        <v/>
      </c>
      <c r="D963" s="17">
        <f>IF(A963="","",(Calculator!$B$11+C963)*Calculator!$B$5)</f>
        <v/>
      </c>
      <c r="E963" s="12">
        <f>IF(A963="","",IF(Calculator!$B$17=1,ROUNDUP(D963*Calculator!$B$8/3600/Calculator!$B$24-0.000000001,0),D963*Calculator!$B$8/3600/Calculator!$B$24))</f>
        <v/>
      </c>
      <c r="F963" s="16">
        <f>IF(A963="","",IF(Calculator!$B$16=1,Calculator!$B$27,A963)*Calculator!$B$5*Calculator!$B$15)</f>
        <v/>
      </c>
      <c r="G963" s="16">
        <f>IF(A963="","",E963*Calculator!$B$6+Calculator!$C$37+F963+Calculator!$B$30)</f>
        <v/>
      </c>
      <c r="H963" s="16">
        <f>IF(A963="","",Calculator!$B$40-G963)</f>
        <v/>
      </c>
      <c r="I963" s="17">
        <f>IF(A963="","",A963*Calculator!$B$5*Calculator!$B$8/3600)</f>
        <v/>
      </c>
      <c r="J963" s="12">
        <f>IF(A963="","",Calculator!$B$35-E963)</f>
        <v/>
      </c>
    </row>
    <row r="964">
      <c r="A964" s="15">
        <f>IF(962/1000&lt;=Calculator!$B$27+0.0000001,962/1000,"")</f>
        <v/>
      </c>
      <c r="B964" s="15">
        <f>IF(A964="","",A964/Calculator!$B$27)</f>
        <v/>
      </c>
      <c r="C964" s="15">
        <f>IF(A964="","",Calculator!$B$27-A964)</f>
        <v/>
      </c>
      <c r="D964" s="17">
        <f>IF(A964="","",(Calculator!$B$11+C964)*Calculator!$B$5)</f>
        <v/>
      </c>
      <c r="E964" s="12">
        <f>IF(A964="","",IF(Calculator!$B$17=1,ROUNDUP(D964*Calculator!$B$8/3600/Calculator!$B$24-0.000000001,0),D964*Calculator!$B$8/3600/Calculator!$B$24))</f>
        <v/>
      </c>
      <c r="F964" s="16">
        <f>IF(A964="","",IF(Calculator!$B$16=1,Calculator!$B$27,A964)*Calculator!$B$5*Calculator!$B$15)</f>
        <v/>
      </c>
      <c r="G964" s="16">
        <f>IF(A964="","",E964*Calculator!$B$6+Calculator!$C$37+F964+Calculator!$B$30)</f>
        <v/>
      </c>
      <c r="H964" s="16">
        <f>IF(A964="","",Calculator!$B$40-G964)</f>
        <v/>
      </c>
      <c r="I964" s="17">
        <f>IF(A964="","",A964*Calculator!$B$5*Calculator!$B$8/3600)</f>
        <v/>
      </c>
      <c r="J964" s="12">
        <f>IF(A964="","",Calculator!$B$35-E964)</f>
        <v/>
      </c>
    </row>
    <row r="965">
      <c r="A965" s="15">
        <f>IF(963/1000&lt;=Calculator!$B$27+0.0000001,963/1000,"")</f>
        <v/>
      </c>
      <c r="B965" s="15">
        <f>IF(A965="","",A965/Calculator!$B$27)</f>
        <v/>
      </c>
      <c r="C965" s="15">
        <f>IF(A965="","",Calculator!$B$27-A965)</f>
        <v/>
      </c>
      <c r="D965" s="17">
        <f>IF(A965="","",(Calculator!$B$11+C965)*Calculator!$B$5)</f>
        <v/>
      </c>
      <c r="E965" s="12">
        <f>IF(A965="","",IF(Calculator!$B$17=1,ROUNDUP(D965*Calculator!$B$8/3600/Calculator!$B$24-0.000000001,0),D965*Calculator!$B$8/3600/Calculator!$B$24))</f>
        <v/>
      </c>
      <c r="F965" s="16">
        <f>IF(A965="","",IF(Calculator!$B$16=1,Calculator!$B$27,A965)*Calculator!$B$5*Calculator!$B$15)</f>
        <v/>
      </c>
      <c r="G965" s="16">
        <f>IF(A965="","",E965*Calculator!$B$6+Calculator!$C$37+F965+Calculator!$B$30)</f>
        <v/>
      </c>
      <c r="H965" s="16">
        <f>IF(A965="","",Calculator!$B$40-G965)</f>
        <v/>
      </c>
      <c r="I965" s="17">
        <f>IF(A965="","",A965*Calculator!$B$5*Calculator!$B$8/3600)</f>
        <v/>
      </c>
      <c r="J965" s="12">
        <f>IF(A965="","",Calculator!$B$35-E965)</f>
        <v/>
      </c>
    </row>
    <row r="966">
      <c r="A966" s="15">
        <f>IF(964/1000&lt;=Calculator!$B$27+0.0000001,964/1000,"")</f>
        <v/>
      </c>
      <c r="B966" s="15">
        <f>IF(A966="","",A966/Calculator!$B$27)</f>
        <v/>
      </c>
      <c r="C966" s="15">
        <f>IF(A966="","",Calculator!$B$27-A966)</f>
        <v/>
      </c>
      <c r="D966" s="17">
        <f>IF(A966="","",(Calculator!$B$11+C966)*Calculator!$B$5)</f>
        <v/>
      </c>
      <c r="E966" s="12">
        <f>IF(A966="","",IF(Calculator!$B$17=1,ROUNDUP(D966*Calculator!$B$8/3600/Calculator!$B$24-0.000000001,0),D966*Calculator!$B$8/3600/Calculator!$B$24))</f>
        <v/>
      </c>
      <c r="F966" s="16">
        <f>IF(A966="","",IF(Calculator!$B$16=1,Calculator!$B$27,A966)*Calculator!$B$5*Calculator!$B$15)</f>
        <v/>
      </c>
      <c r="G966" s="16">
        <f>IF(A966="","",E966*Calculator!$B$6+Calculator!$C$37+F966+Calculator!$B$30)</f>
        <v/>
      </c>
      <c r="H966" s="16">
        <f>IF(A966="","",Calculator!$B$40-G966)</f>
        <v/>
      </c>
      <c r="I966" s="17">
        <f>IF(A966="","",A966*Calculator!$B$5*Calculator!$B$8/3600)</f>
        <v/>
      </c>
      <c r="J966" s="12">
        <f>IF(A966="","",Calculator!$B$35-E966)</f>
        <v/>
      </c>
    </row>
    <row r="967">
      <c r="A967" s="15">
        <f>IF(965/1000&lt;=Calculator!$B$27+0.0000001,965/1000,"")</f>
        <v/>
      </c>
      <c r="B967" s="15">
        <f>IF(A967="","",A967/Calculator!$B$27)</f>
        <v/>
      </c>
      <c r="C967" s="15">
        <f>IF(A967="","",Calculator!$B$27-A967)</f>
        <v/>
      </c>
      <c r="D967" s="17">
        <f>IF(A967="","",(Calculator!$B$11+C967)*Calculator!$B$5)</f>
        <v/>
      </c>
      <c r="E967" s="12">
        <f>IF(A967="","",IF(Calculator!$B$17=1,ROUNDUP(D967*Calculator!$B$8/3600/Calculator!$B$24-0.000000001,0),D967*Calculator!$B$8/3600/Calculator!$B$24))</f>
        <v/>
      </c>
      <c r="F967" s="16">
        <f>IF(A967="","",IF(Calculator!$B$16=1,Calculator!$B$27,A967)*Calculator!$B$5*Calculator!$B$15)</f>
        <v/>
      </c>
      <c r="G967" s="16">
        <f>IF(A967="","",E967*Calculator!$B$6+Calculator!$C$37+F967+Calculator!$B$30)</f>
        <v/>
      </c>
      <c r="H967" s="16">
        <f>IF(A967="","",Calculator!$B$40-G967)</f>
        <v/>
      </c>
      <c r="I967" s="17">
        <f>IF(A967="","",A967*Calculator!$B$5*Calculator!$B$8/3600)</f>
        <v/>
      </c>
      <c r="J967" s="12">
        <f>IF(A967="","",Calculator!$B$35-E967)</f>
        <v/>
      </c>
    </row>
    <row r="968">
      <c r="A968" s="15">
        <f>IF(966/1000&lt;=Calculator!$B$27+0.0000001,966/1000,"")</f>
        <v/>
      </c>
      <c r="B968" s="15">
        <f>IF(A968="","",A968/Calculator!$B$27)</f>
        <v/>
      </c>
      <c r="C968" s="15">
        <f>IF(A968="","",Calculator!$B$27-A968)</f>
        <v/>
      </c>
      <c r="D968" s="17">
        <f>IF(A968="","",(Calculator!$B$11+C968)*Calculator!$B$5)</f>
        <v/>
      </c>
      <c r="E968" s="12">
        <f>IF(A968="","",IF(Calculator!$B$17=1,ROUNDUP(D968*Calculator!$B$8/3600/Calculator!$B$24-0.000000001,0),D968*Calculator!$B$8/3600/Calculator!$B$24))</f>
        <v/>
      </c>
      <c r="F968" s="16">
        <f>IF(A968="","",IF(Calculator!$B$16=1,Calculator!$B$27,A968)*Calculator!$B$5*Calculator!$B$15)</f>
        <v/>
      </c>
      <c r="G968" s="16">
        <f>IF(A968="","",E968*Calculator!$B$6+Calculator!$C$37+F968+Calculator!$B$30)</f>
        <v/>
      </c>
      <c r="H968" s="16">
        <f>IF(A968="","",Calculator!$B$40-G968)</f>
        <v/>
      </c>
      <c r="I968" s="17">
        <f>IF(A968="","",A968*Calculator!$B$5*Calculator!$B$8/3600)</f>
        <v/>
      </c>
      <c r="J968" s="12">
        <f>IF(A968="","",Calculator!$B$35-E968)</f>
        <v/>
      </c>
    </row>
    <row r="969">
      <c r="A969" s="15">
        <f>IF(967/1000&lt;=Calculator!$B$27+0.0000001,967/1000,"")</f>
        <v/>
      </c>
      <c r="B969" s="15">
        <f>IF(A969="","",A969/Calculator!$B$27)</f>
        <v/>
      </c>
      <c r="C969" s="15">
        <f>IF(A969="","",Calculator!$B$27-A969)</f>
        <v/>
      </c>
      <c r="D969" s="17">
        <f>IF(A969="","",(Calculator!$B$11+C969)*Calculator!$B$5)</f>
        <v/>
      </c>
      <c r="E969" s="12">
        <f>IF(A969="","",IF(Calculator!$B$17=1,ROUNDUP(D969*Calculator!$B$8/3600/Calculator!$B$24-0.000000001,0),D969*Calculator!$B$8/3600/Calculator!$B$24))</f>
        <v/>
      </c>
      <c r="F969" s="16">
        <f>IF(A969="","",IF(Calculator!$B$16=1,Calculator!$B$27,A969)*Calculator!$B$5*Calculator!$B$15)</f>
        <v/>
      </c>
      <c r="G969" s="16">
        <f>IF(A969="","",E969*Calculator!$B$6+Calculator!$C$37+F969+Calculator!$B$30)</f>
        <v/>
      </c>
      <c r="H969" s="16">
        <f>IF(A969="","",Calculator!$B$40-G969)</f>
        <v/>
      </c>
      <c r="I969" s="17">
        <f>IF(A969="","",A969*Calculator!$B$5*Calculator!$B$8/3600)</f>
        <v/>
      </c>
      <c r="J969" s="12">
        <f>IF(A969="","",Calculator!$B$35-E969)</f>
        <v/>
      </c>
    </row>
    <row r="970">
      <c r="A970" s="15">
        <f>IF(968/1000&lt;=Calculator!$B$27+0.0000001,968/1000,"")</f>
        <v/>
      </c>
      <c r="B970" s="15">
        <f>IF(A970="","",A970/Calculator!$B$27)</f>
        <v/>
      </c>
      <c r="C970" s="15">
        <f>IF(A970="","",Calculator!$B$27-A970)</f>
        <v/>
      </c>
      <c r="D970" s="17">
        <f>IF(A970="","",(Calculator!$B$11+C970)*Calculator!$B$5)</f>
        <v/>
      </c>
      <c r="E970" s="12">
        <f>IF(A970="","",IF(Calculator!$B$17=1,ROUNDUP(D970*Calculator!$B$8/3600/Calculator!$B$24-0.000000001,0),D970*Calculator!$B$8/3600/Calculator!$B$24))</f>
        <v/>
      </c>
      <c r="F970" s="16">
        <f>IF(A970="","",IF(Calculator!$B$16=1,Calculator!$B$27,A970)*Calculator!$B$5*Calculator!$B$15)</f>
        <v/>
      </c>
      <c r="G970" s="16">
        <f>IF(A970="","",E970*Calculator!$B$6+Calculator!$C$37+F970+Calculator!$B$30)</f>
        <v/>
      </c>
      <c r="H970" s="16">
        <f>IF(A970="","",Calculator!$B$40-G970)</f>
        <v/>
      </c>
      <c r="I970" s="17">
        <f>IF(A970="","",A970*Calculator!$B$5*Calculator!$B$8/3600)</f>
        <v/>
      </c>
      <c r="J970" s="12">
        <f>IF(A970="","",Calculator!$B$35-E970)</f>
        <v/>
      </c>
    </row>
    <row r="971">
      <c r="A971" s="15">
        <f>IF(969/1000&lt;=Calculator!$B$27+0.0000001,969/1000,"")</f>
        <v/>
      </c>
      <c r="B971" s="15">
        <f>IF(A971="","",A971/Calculator!$B$27)</f>
        <v/>
      </c>
      <c r="C971" s="15">
        <f>IF(A971="","",Calculator!$B$27-A971)</f>
        <v/>
      </c>
      <c r="D971" s="17">
        <f>IF(A971="","",(Calculator!$B$11+C971)*Calculator!$B$5)</f>
        <v/>
      </c>
      <c r="E971" s="12">
        <f>IF(A971="","",IF(Calculator!$B$17=1,ROUNDUP(D971*Calculator!$B$8/3600/Calculator!$B$24-0.000000001,0),D971*Calculator!$B$8/3600/Calculator!$B$24))</f>
        <v/>
      </c>
      <c r="F971" s="16">
        <f>IF(A971="","",IF(Calculator!$B$16=1,Calculator!$B$27,A971)*Calculator!$B$5*Calculator!$B$15)</f>
        <v/>
      </c>
      <c r="G971" s="16">
        <f>IF(A971="","",E971*Calculator!$B$6+Calculator!$C$37+F971+Calculator!$B$30)</f>
        <v/>
      </c>
      <c r="H971" s="16">
        <f>IF(A971="","",Calculator!$B$40-G971)</f>
        <v/>
      </c>
      <c r="I971" s="17">
        <f>IF(A971="","",A971*Calculator!$B$5*Calculator!$B$8/3600)</f>
        <v/>
      </c>
      <c r="J971" s="12">
        <f>IF(A971="","",Calculator!$B$35-E971)</f>
        <v/>
      </c>
    </row>
    <row r="972">
      <c r="A972" s="15">
        <f>IF(970/1000&lt;=Calculator!$B$27+0.0000001,970/1000,"")</f>
        <v/>
      </c>
      <c r="B972" s="15">
        <f>IF(A972="","",A972/Calculator!$B$27)</f>
        <v/>
      </c>
      <c r="C972" s="15">
        <f>IF(A972="","",Calculator!$B$27-A972)</f>
        <v/>
      </c>
      <c r="D972" s="17">
        <f>IF(A972="","",(Calculator!$B$11+C972)*Calculator!$B$5)</f>
        <v/>
      </c>
      <c r="E972" s="12">
        <f>IF(A972="","",IF(Calculator!$B$17=1,ROUNDUP(D972*Calculator!$B$8/3600/Calculator!$B$24-0.000000001,0),D972*Calculator!$B$8/3600/Calculator!$B$24))</f>
        <v/>
      </c>
      <c r="F972" s="16">
        <f>IF(A972="","",IF(Calculator!$B$16=1,Calculator!$B$27,A972)*Calculator!$B$5*Calculator!$B$15)</f>
        <v/>
      </c>
      <c r="G972" s="16">
        <f>IF(A972="","",E972*Calculator!$B$6+Calculator!$C$37+F972+Calculator!$B$30)</f>
        <v/>
      </c>
      <c r="H972" s="16">
        <f>IF(A972="","",Calculator!$B$40-G972)</f>
        <v/>
      </c>
      <c r="I972" s="17">
        <f>IF(A972="","",A972*Calculator!$B$5*Calculator!$B$8/3600)</f>
        <v/>
      </c>
      <c r="J972" s="12">
        <f>IF(A972="","",Calculator!$B$35-E972)</f>
        <v/>
      </c>
    </row>
    <row r="973">
      <c r="A973" s="15">
        <f>IF(971/1000&lt;=Calculator!$B$27+0.0000001,971/1000,"")</f>
        <v/>
      </c>
      <c r="B973" s="15">
        <f>IF(A973="","",A973/Calculator!$B$27)</f>
        <v/>
      </c>
      <c r="C973" s="15">
        <f>IF(A973="","",Calculator!$B$27-A973)</f>
        <v/>
      </c>
      <c r="D973" s="17">
        <f>IF(A973="","",(Calculator!$B$11+C973)*Calculator!$B$5)</f>
        <v/>
      </c>
      <c r="E973" s="12">
        <f>IF(A973="","",IF(Calculator!$B$17=1,ROUNDUP(D973*Calculator!$B$8/3600/Calculator!$B$24-0.000000001,0),D973*Calculator!$B$8/3600/Calculator!$B$24))</f>
        <v/>
      </c>
      <c r="F973" s="16">
        <f>IF(A973="","",IF(Calculator!$B$16=1,Calculator!$B$27,A973)*Calculator!$B$5*Calculator!$B$15)</f>
        <v/>
      </c>
      <c r="G973" s="16">
        <f>IF(A973="","",E973*Calculator!$B$6+Calculator!$C$37+F973+Calculator!$B$30)</f>
        <v/>
      </c>
      <c r="H973" s="16">
        <f>IF(A973="","",Calculator!$B$40-G973)</f>
        <v/>
      </c>
      <c r="I973" s="17">
        <f>IF(A973="","",A973*Calculator!$B$5*Calculator!$B$8/3600)</f>
        <v/>
      </c>
      <c r="J973" s="12">
        <f>IF(A973="","",Calculator!$B$35-E973)</f>
        <v/>
      </c>
    </row>
    <row r="974">
      <c r="A974" s="15">
        <f>IF(972/1000&lt;=Calculator!$B$27+0.0000001,972/1000,"")</f>
        <v/>
      </c>
      <c r="B974" s="15">
        <f>IF(A974="","",A974/Calculator!$B$27)</f>
        <v/>
      </c>
      <c r="C974" s="15">
        <f>IF(A974="","",Calculator!$B$27-A974)</f>
        <v/>
      </c>
      <c r="D974" s="17">
        <f>IF(A974="","",(Calculator!$B$11+C974)*Calculator!$B$5)</f>
        <v/>
      </c>
      <c r="E974" s="12">
        <f>IF(A974="","",IF(Calculator!$B$17=1,ROUNDUP(D974*Calculator!$B$8/3600/Calculator!$B$24-0.000000001,0),D974*Calculator!$B$8/3600/Calculator!$B$24))</f>
        <v/>
      </c>
      <c r="F974" s="16">
        <f>IF(A974="","",IF(Calculator!$B$16=1,Calculator!$B$27,A974)*Calculator!$B$5*Calculator!$B$15)</f>
        <v/>
      </c>
      <c r="G974" s="16">
        <f>IF(A974="","",E974*Calculator!$B$6+Calculator!$C$37+F974+Calculator!$B$30)</f>
        <v/>
      </c>
      <c r="H974" s="16">
        <f>IF(A974="","",Calculator!$B$40-G974)</f>
        <v/>
      </c>
      <c r="I974" s="17">
        <f>IF(A974="","",A974*Calculator!$B$5*Calculator!$B$8/3600)</f>
        <v/>
      </c>
      <c r="J974" s="12">
        <f>IF(A974="","",Calculator!$B$35-E974)</f>
        <v/>
      </c>
    </row>
    <row r="975">
      <c r="A975" s="15">
        <f>IF(973/1000&lt;=Calculator!$B$27+0.0000001,973/1000,"")</f>
        <v/>
      </c>
      <c r="B975" s="15">
        <f>IF(A975="","",A975/Calculator!$B$27)</f>
        <v/>
      </c>
      <c r="C975" s="15">
        <f>IF(A975="","",Calculator!$B$27-A975)</f>
        <v/>
      </c>
      <c r="D975" s="17">
        <f>IF(A975="","",(Calculator!$B$11+C975)*Calculator!$B$5)</f>
        <v/>
      </c>
      <c r="E975" s="12">
        <f>IF(A975="","",IF(Calculator!$B$17=1,ROUNDUP(D975*Calculator!$B$8/3600/Calculator!$B$24-0.000000001,0),D975*Calculator!$B$8/3600/Calculator!$B$24))</f>
        <v/>
      </c>
      <c r="F975" s="16">
        <f>IF(A975="","",IF(Calculator!$B$16=1,Calculator!$B$27,A975)*Calculator!$B$5*Calculator!$B$15)</f>
        <v/>
      </c>
      <c r="G975" s="16">
        <f>IF(A975="","",E975*Calculator!$B$6+Calculator!$C$37+F975+Calculator!$B$30)</f>
        <v/>
      </c>
      <c r="H975" s="16">
        <f>IF(A975="","",Calculator!$B$40-G975)</f>
        <v/>
      </c>
      <c r="I975" s="17">
        <f>IF(A975="","",A975*Calculator!$B$5*Calculator!$B$8/3600)</f>
        <v/>
      </c>
      <c r="J975" s="12">
        <f>IF(A975="","",Calculator!$B$35-E975)</f>
        <v/>
      </c>
    </row>
    <row r="976">
      <c r="A976" s="15">
        <f>IF(974/1000&lt;=Calculator!$B$27+0.0000001,974/1000,"")</f>
        <v/>
      </c>
      <c r="B976" s="15">
        <f>IF(A976="","",A976/Calculator!$B$27)</f>
        <v/>
      </c>
      <c r="C976" s="15">
        <f>IF(A976="","",Calculator!$B$27-A976)</f>
        <v/>
      </c>
      <c r="D976" s="17">
        <f>IF(A976="","",(Calculator!$B$11+C976)*Calculator!$B$5)</f>
        <v/>
      </c>
      <c r="E976" s="12">
        <f>IF(A976="","",IF(Calculator!$B$17=1,ROUNDUP(D976*Calculator!$B$8/3600/Calculator!$B$24-0.000000001,0),D976*Calculator!$B$8/3600/Calculator!$B$24))</f>
        <v/>
      </c>
      <c r="F976" s="16">
        <f>IF(A976="","",IF(Calculator!$B$16=1,Calculator!$B$27,A976)*Calculator!$B$5*Calculator!$B$15)</f>
        <v/>
      </c>
      <c r="G976" s="16">
        <f>IF(A976="","",E976*Calculator!$B$6+Calculator!$C$37+F976+Calculator!$B$30)</f>
        <v/>
      </c>
      <c r="H976" s="16">
        <f>IF(A976="","",Calculator!$B$40-G976)</f>
        <v/>
      </c>
      <c r="I976" s="17">
        <f>IF(A976="","",A976*Calculator!$B$5*Calculator!$B$8/3600)</f>
        <v/>
      </c>
      <c r="J976" s="12">
        <f>IF(A976="","",Calculator!$B$35-E976)</f>
        <v/>
      </c>
    </row>
    <row r="977">
      <c r="A977" s="15">
        <f>IF(975/1000&lt;=Calculator!$B$27+0.0000001,975/1000,"")</f>
        <v/>
      </c>
      <c r="B977" s="15">
        <f>IF(A977="","",A977/Calculator!$B$27)</f>
        <v/>
      </c>
      <c r="C977" s="15">
        <f>IF(A977="","",Calculator!$B$27-A977)</f>
        <v/>
      </c>
      <c r="D977" s="17">
        <f>IF(A977="","",(Calculator!$B$11+C977)*Calculator!$B$5)</f>
        <v/>
      </c>
      <c r="E977" s="12">
        <f>IF(A977="","",IF(Calculator!$B$17=1,ROUNDUP(D977*Calculator!$B$8/3600/Calculator!$B$24-0.000000001,0),D977*Calculator!$B$8/3600/Calculator!$B$24))</f>
        <v/>
      </c>
      <c r="F977" s="16">
        <f>IF(A977="","",IF(Calculator!$B$16=1,Calculator!$B$27,A977)*Calculator!$B$5*Calculator!$B$15)</f>
        <v/>
      </c>
      <c r="G977" s="16">
        <f>IF(A977="","",E977*Calculator!$B$6+Calculator!$C$37+F977+Calculator!$B$30)</f>
        <v/>
      </c>
      <c r="H977" s="16">
        <f>IF(A977="","",Calculator!$B$40-G977)</f>
        <v/>
      </c>
      <c r="I977" s="17">
        <f>IF(A977="","",A977*Calculator!$B$5*Calculator!$B$8/3600)</f>
        <v/>
      </c>
      <c r="J977" s="12">
        <f>IF(A977="","",Calculator!$B$35-E977)</f>
        <v/>
      </c>
    </row>
    <row r="978">
      <c r="A978" s="15">
        <f>IF(976/1000&lt;=Calculator!$B$27+0.0000001,976/1000,"")</f>
        <v/>
      </c>
      <c r="B978" s="15">
        <f>IF(A978="","",A978/Calculator!$B$27)</f>
        <v/>
      </c>
      <c r="C978" s="15">
        <f>IF(A978="","",Calculator!$B$27-A978)</f>
        <v/>
      </c>
      <c r="D978" s="17">
        <f>IF(A978="","",(Calculator!$B$11+C978)*Calculator!$B$5)</f>
        <v/>
      </c>
      <c r="E978" s="12">
        <f>IF(A978="","",IF(Calculator!$B$17=1,ROUNDUP(D978*Calculator!$B$8/3600/Calculator!$B$24-0.000000001,0),D978*Calculator!$B$8/3600/Calculator!$B$24))</f>
        <v/>
      </c>
      <c r="F978" s="16">
        <f>IF(A978="","",IF(Calculator!$B$16=1,Calculator!$B$27,A978)*Calculator!$B$5*Calculator!$B$15)</f>
        <v/>
      </c>
      <c r="G978" s="16">
        <f>IF(A978="","",E978*Calculator!$B$6+Calculator!$C$37+F978+Calculator!$B$30)</f>
        <v/>
      </c>
      <c r="H978" s="16">
        <f>IF(A978="","",Calculator!$B$40-G978)</f>
        <v/>
      </c>
      <c r="I978" s="17">
        <f>IF(A978="","",A978*Calculator!$B$5*Calculator!$B$8/3600)</f>
        <v/>
      </c>
      <c r="J978" s="12">
        <f>IF(A978="","",Calculator!$B$35-E978)</f>
        <v/>
      </c>
    </row>
    <row r="979">
      <c r="A979" s="15">
        <f>IF(977/1000&lt;=Calculator!$B$27+0.0000001,977/1000,"")</f>
        <v/>
      </c>
      <c r="B979" s="15">
        <f>IF(A979="","",A979/Calculator!$B$27)</f>
        <v/>
      </c>
      <c r="C979" s="15">
        <f>IF(A979="","",Calculator!$B$27-A979)</f>
        <v/>
      </c>
      <c r="D979" s="17">
        <f>IF(A979="","",(Calculator!$B$11+C979)*Calculator!$B$5)</f>
        <v/>
      </c>
      <c r="E979" s="12">
        <f>IF(A979="","",IF(Calculator!$B$17=1,ROUNDUP(D979*Calculator!$B$8/3600/Calculator!$B$24-0.000000001,0),D979*Calculator!$B$8/3600/Calculator!$B$24))</f>
        <v/>
      </c>
      <c r="F979" s="16">
        <f>IF(A979="","",IF(Calculator!$B$16=1,Calculator!$B$27,A979)*Calculator!$B$5*Calculator!$B$15)</f>
        <v/>
      </c>
      <c r="G979" s="16">
        <f>IF(A979="","",E979*Calculator!$B$6+Calculator!$C$37+F979+Calculator!$B$30)</f>
        <v/>
      </c>
      <c r="H979" s="16">
        <f>IF(A979="","",Calculator!$B$40-G979)</f>
        <v/>
      </c>
      <c r="I979" s="17">
        <f>IF(A979="","",A979*Calculator!$B$5*Calculator!$B$8/3600)</f>
        <v/>
      </c>
      <c r="J979" s="12">
        <f>IF(A979="","",Calculator!$B$35-E979)</f>
        <v/>
      </c>
    </row>
    <row r="980">
      <c r="A980" s="15">
        <f>IF(978/1000&lt;=Calculator!$B$27+0.0000001,978/1000,"")</f>
        <v/>
      </c>
      <c r="B980" s="15">
        <f>IF(A980="","",A980/Calculator!$B$27)</f>
        <v/>
      </c>
      <c r="C980" s="15">
        <f>IF(A980="","",Calculator!$B$27-A980)</f>
        <v/>
      </c>
      <c r="D980" s="17">
        <f>IF(A980="","",(Calculator!$B$11+C980)*Calculator!$B$5)</f>
        <v/>
      </c>
      <c r="E980" s="12">
        <f>IF(A980="","",IF(Calculator!$B$17=1,ROUNDUP(D980*Calculator!$B$8/3600/Calculator!$B$24-0.000000001,0),D980*Calculator!$B$8/3600/Calculator!$B$24))</f>
        <v/>
      </c>
      <c r="F980" s="16">
        <f>IF(A980="","",IF(Calculator!$B$16=1,Calculator!$B$27,A980)*Calculator!$B$5*Calculator!$B$15)</f>
        <v/>
      </c>
      <c r="G980" s="16">
        <f>IF(A980="","",E980*Calculator!$B$6+Calculator!$C$37+F980+Calculator!$B$30)</f>
        <v/>
      </c>
      <c r="H980" s="16">
        <f>IF(A980="","",Calculator!$B$40-G980)</f>
        <v/>
      </c>
      <c r="I980" s="17">
        <f>IF(A980="","",A980*Calculator!$B$5*Calculator!$B$8/3600)</f>
        <v/>
      </c>
      <c r="J980" s="12">
        <f>IF(A980="","",Calculator!$B$35-E980)</f>
        <v/>
      </c>
    </row>
    <row r="981">
      <c r="A981" s="15">
        <f>IF(979/1000&lt;=Calculator!$B$27+0.0000001,979/1000,"")</f>
        <v/>
      </c>
      <c r="B981" s="15">
        <f>IF(A981="","",A981/Calculator!$B$27)</f>
        <v/>
      </c>
      <c r="C981" s="15">
        <f>IF(A981="","",Calculator!$B$27-A981)</f>
        <v/>
      </c>
      <c r="D981" s="17">
        <f>IF(A981="","",(Calculator!$B$11+C981)*Calculator!$B$5)</f>
        <v/>
      </c>
      <c r="E981" s="12">
        <f>IF(A981="","",IF(Calculator!$B$17=1,ROUNDUP(D981*Calculator!$B$8/3600/Calculator!$B$24-0.000000001,0),D981*Calculator!$B$8/3600/Calculator!$B$24))</f>
        <v/>
      </c>
      <c r="F981" s="16">
        <f>IF(A981="","",IF(Calculator!$B$16=1,Calculator!$B$27,A981)*Calculator!$B$5*Calculator!$B$15)</f>
        <v/>
      </c>
      <c r="G981" s="16">
        <f>IF(A981="","",E981*Calculator!$B$6+Calculator!$C$37+F981+Calculator!$B$30)</f>
        <v/>
      </c>
      <c r="H981" s="16">
        <f>IF(A981="","",Calculator!$B$40-G981)</f>
        <v/>
      </c>
      <c r="I981" s="17">
        <f>IF(A981="","",A981*Calculator!$B$5*Calculator!$B$8/3600)</f>
        <v/>
      </c>
      <c r="J981" s="12">
        <f>IF(A981="","",Calculator!$B$35-E981)</f>
        <v/>
      </c>
    </row>
    <row r="982">
      <c r="A982" s="15">
        <f>IF(980/1000&lt;=Calculator!$B$27+0.0000001,980/1000,"")</f>
        <v/>
      </c>
      <c r="B982" s="15">
        <f>IF(A982="","",A982/Calculator!$B$27)</f>
        <v/>
      </c>
      <c r="C982" s="15">
        <f>IF(A982="","",Calculator!$B$27-A982)</f>
        <v/>
      </c>
      <c r="D982" s="17">
        <f>IF(A982="","",(Calculator!$B$11+C982)*Calculator!$B$5)</f>
        <v/>
      </c>
      <c r="E982" s="12">
        <f>IF(A982="","",IF(Calculator!$B$17=1,ROUNDUP(D982*Calculator!$B$8/3600/Calculator!$B$24-0.000000001,0),D982*Calculator!$B$8/3600/Calculator!$B$24))</f>
        <v/>
      </c>
      <c r="F982" s="16">
        <f>IF(A982="","",IF(Calculator!$B$16=1,Calculator!$B$27,A982)*Calculator!$B$5*Calculator!$B$15)</f>
        <v/>
      </c>
      <c r="G982" s="16">
        <f>IF(A982="","",E982*Calculator!$B$6+Calculator!$C$37+F982+Calculator!$B$30)</f>
        <v/>
      </c>
      <c r="H982" s="16">
        <f>IF(A982="","",Calculator!$B$40-G982)</f>
        <v/>
      </c>
      <c r="I982" s="17">
        <f>IF(A982="","",A982*Calculator!$B$5*Calculator!$B$8/3600)</f>
        <v/>
      </c>
      <c r="J982" s="12">
        <f>IF(A982="","",Calculator!$B$35-E982)</f>
        <v/>
      </c>
    </row>
    <row r="983">
      <c r="A983" s="15">
        <f>IF(981/1000&lt;=Calculator!$B$27+0.0000001,981/1000,"")</f>
        <v/>
      </c>
      <c r="B983" s="15">
        <f>IF(A983="","",A983/Calculator!$B$27)</f>
        <v/>
      </c>
      <c r="C983" s="15">
        <f>IF(A983="","",Calculator!$B$27-A983)</f>
        <v/>
      </c>
      <c r="D983" s="17">
        <f>IF(A983="","",(Calculator!$B$11+C983)*Calculator!$B$5)</f>
        <v/>
      </c>
      <c r="E983" s="12">
        <f>IF(A983="","",IF(Calculator!$B$17=1,ROUNDUP(D983*Calculator!$B$8/3600/Calculator!$B$24-0.000000001,0),D983*Calculator!$B$8/3600/Calculator!$B$24))</f>
        <v/>
      </c>
      <c r="F983" s="16">
        <f>IF(A983="","",IF(Calculator!$B$16=1,Calculator!$B$27,A983)*Calculator!$B$5*Calculator!$B$15)</f>
        <v/>
      </c>
      <c r="G983" s="16">
        <f>IF(A983="","",E983*Calculator!$B$6+Calculator!$C$37+F983+Calculator!$B$30)</f>
        <v/>
      </c>
      <c r="H983" s="16">
        <f>IF(A983="","",Calculator!$B$40-G983)</f>
        <v/>
      </c>
      <c r="I983" s="17">
        <f>IF(A983="","",A983*Calculator!$B$5*Calculator!$B$8/3600)</f>
        <v/>
      </c>
      <c r="J983" s="12">
        <f>IF(A983="","",Calculator!$B$35-E983)</f>
        <v/>
      </c>
    </row>
    <row r="984">
      <c r="A984" s="15">
        <f>IF(982/1000&lt;=Calculator!$B$27+0.0000001,982/1000,"")</f>
        <v/>
      </c>
      <c r="B984" s="15">
        <f>IF(A984="","",A984/Calculator!$B$27)</f>
        <v/>
      </c>
      <c r="C984" s="15">
        <f>IF(A984="","",Calculator!$B$27-A984)</f>
        <v/>
      </c>
      <c r="D984" s="17">
        <f>IF(A984="","",(Calculator!$B$11+C984)*Calculator!$B$5)</f>
        <v/>
      </c>
      <c r="E984" s="12">
        <f>IF(A984="","",IF(Calculator!$B$17=1,ROUNDUP(D984*Calculator!$B$8/3600/Calculator!$B$24-0.000000001,0),D984*Calculator!$B$8/3600/Calculator!$B$24))</f>
        <v/>
      </c>
      <c r="F984" s="16">
        <f>IF(A984="","",IF(Calculator!$B$16=1,Calculator!$B$27,A984)*Calculator!$B$5*Calculator!$B$15)</f>
        <v/>
      </c>
      <c r="G984" s="16">
        <f>IF(A984="","",E984*Calculator!$B$6+Calculator!$C$37+F984+Calculator!$B$30)</f>
        <v/>
      </c>
      <c r="H984" s="16">
        <f>IF(A984="","",Calculator!$B$40-G984)</f>
        <v/>
      </c>
      <c r="I984" s="17">
        <f>IF(A984="","",A984*Calculator!$B$5*Calculator!$B$8/3600)</f>
        <v/>
      </c>
      <c r="J984" s="12">
        <f>IF(A984="","",Calculator!$B$35-E984)</f>
        <v/>
      </c>
    </row>
    <row r="985">
      <c r="A985" s="15">
        <f>IF(983/1000&lt;=Calculator!$B$27+0.0000001,983/1000,"")</f>
        <v/>
      </c>
      <c r="B985" s="15">
        <f>IF(A985="","",A985/Calculator!$B$27)</f>
        <v/>
      </c>
      <c r="C985" s="15">
        <f>IF(A985="","",Calculator!$B$27-A985)</f>
        <v/>
      </c>
      <c r="D985" s="17">
        <f>IF(A985="","",(Calculator!$B$11+C985)*Calculator!$B$5)</f>
        <v/>
      </c>
      <c r="E985" s="12">
        <f>IF(A985="","",IF(Calculator!$B$17=1,ROUNDUP(D985*Calculator!$B$8/3600/Calculator!$B$24-0.000000001,0),D985*Calculator!$B$8/3600/Calculator!$B$24))</f>
        <v/>
      </c>
      <c r="F985" s="16">
        <f>IF(A985="","",IF(Calculator!$B$16=1,Calculator!$B$27,A985)*Calculator!$B$5*Calculator!$B$15)</f>
        <v/>
      </c>
      <c r="G985" s="16">
        <f>IF(A985="","",E985*Calculator!$B$6+Calculator!$C$37+F985+Calculator!$B$30)</f>
        <v/>
      </c>
      <c r="H985" s="16">
        <f>IF(A985="","",Calculator!$B$40-G985)</f>
        <v/>
      </c>
      <c r="I985" s="17">
        <f>IF(A985="","",A985*Calculator!$B$5*Calculator!$B$8/3600)</f>
        <v/>
      </c>
      <c r="J985" s="12">
        <f>IF(A985="","",Calculator!$B$35-E985)</f>
        <v/>
      </c>
    </row>
    <row r="986">
      <c r="A986" s="15">
        <f>IF(984/1000&lt;=Calculator!$B$27+0.0000001,984/1000,"")</f>
        <v/>
      </c>
      <c r="B986" s="15">
        <f>IF(A986="","",A986/Calculator!$B$27)</f>
        <v/>
      </c>
      <c r="C986" s="15">
        <f>IF(A986="","",Calculator!$B$27-A986)</f>
        <v/>
      </c>
      <c r="D986" s="17">
        <f>IF(A986="","",(Calculator!$B$11+C986)*Calculator!$B$5)</f>
        <v/>
      </c>
      <c r="E986" s="12">
        <f>IF(A986="","",IF(Calculator!$B$17=1,ROUNDUP(D986*Calculator!$B$8/3600/Calculator!$B$24-0.000000001,0),D986*Calculator!$B$8/3600/Calculator!$B$24))</f>
        <v/>
      </c>
      <c r="F986" s="16">
        <f>IF(A986="","",IF(Calculator!$B$16=1,Calculator!$B$27,A986)*Calculator!$B$5*Calculator!$B$15)</f>
        <v/>
      </c>
      <c r="G986" s="16">
        <f>IF(A986="","",E986*Calculator!$B$6+Calculator!$C$37+F986+Calculator!$B$30)</f>
        <v/>
      </c>
      <c r="H986" s="16">
        <f>IF(A986="","",Calculator!$B$40-G986)</f>
        <v/>
      </c>
      <c r="I986" s="17">
        <f>IF(A986="","",A986*Calculator!$B$5*Calculator!$B$8/3600)</f>
        <v/>
      </c>
      <c r="J986" s="12">
        <f>IF(A986="","",Calculator!$B$35-E986)</f>
        <v/>
      </c>
    </row>
    <row r="987">
      <c r="A987" s="15">
        <f>IF(985/1000&lt;=Calculator!$B$27+0.0000001,985/1000,"")</f>
        <v/>
      </c>
      <c r="B987" s="15">
        <f>IF(A987="","",A987/Calculator!$B$27)</f>
        <v/>
      </c>
      <c r="C987" s="15">
        <f>IF(A987="","",Calculator!$B$27-A987)</f>
        <v/>
      </c>
      <c r="D987" s="17">
        <f>IF(A987="","",(Calculator!$B$11+C987)*Calculator!$B$5)</f>
        <v/>
      </c>
      <c r="E987" s="12">
        <f>IF(A987="","",IF(Calculator!$B$17=1,ROUNDUP(D987*Calculator!$B$8/3600/Calculator!$B$24-0.000000001,0),D987*Calculator!$B$8/3600/Calculator!$B$24))</f>
        <v/>
      </c>
      <c r="F987" s="16">
        <f>IF(A987="","",IF(Calculator!$B$16=1,Calculator!$B$27,A987)*Calculator!$B$5*Calculator!$B$15)</f>
        <v/>
      </c>
      <c r="G987" s="16">
        <f>IF(A987="","",E987*Calculator!$B$6+Calculator!$C$37+F987+Calculator!$B$30)</f>
        <v/>
      </c>
      <c r="H987" s="16">
        <f>IF(A987="","",Calculator!$B$40-G987)</f>
        <v/>
      </c>
      <c r="I987" s="17">
        <f>IF(A987="","",A987*Calculator!$B$5*Calculator!$B$8/3600)</f>
        <v/>
      </c>
      <c r="J987" s="12">
        <f>IF(A987="","",Calculator!$B$35-E987)</f>
        <v/>
      </c>
    </row>
    <row r="988">
      <c r="A988" s="15">
        <f>IF(986/1000&lt;=Calculator!$B$27+0.0000001,986/1000,"")</f>
        <v/>
      </c>
      <c r="B988" s="15">
        <f>IF(A988="","",A988/Calculator!$B$27)</f>
        <v/>
      </c>
      <c r="C988" s="15">
        <f>IF(A988="","",Calculator!$B$27-A988)</f>
        <v/>
      </c>
      <c r="D988" s="17">
        <f>IF(A988="","",(Calculator!$B$11+C988)*Calculator!$B$5)</f>
        <v/>
      </c>
      <c r="E988" s="12">
        <f>IF(A988="","",IF(Calculator!$B$17=1,ROUNDUP(D988*Calculator!$B$8/3600/Calculator!$B$24-0.000000001,0),D988*Calculator!$B$8/3600/Calculator!$B$24))</f>
        <v/>
      </c>
      <c r="F988" s="16">
        <f>IF(A988="","",IF(Calculator!$B$16=1,Calculator!$B$27,A988)*Calculator!$B$5*Calculator!$B$15)</f>
        <v/>
      </c>
      <c r="G988" s="16">
        <f>IF(A988="","",E988*Calculator!$B$6+Calculator!$C$37+F988+Calculator!$B$30)</f>
        <v/>
      </c>
      <c r="H988" s="16">
        <f>IF(A988="","",Calculator!$B$40-G988)</f>
        <v/>
      </c>
      <c r="I988" s="17">
        <f>IF(A988="","",A988*Calculator!$B$5*Calculator!$B$8/3600)</f>
        <v/>
      </c>
      <c r="J988" s="12">
        <f>IF(A988="","",Calculator!$B$35-E988)</f>
        <v/>
      </c>
    </row>
    <row r="989">
      <c r="A989" s="15">
        <f>IF(987/1000&lt;=Calculator!$B$27+0.0000001,987/1000,"")</f>
        <v/>
      </c>
      <c r="B989" s="15">
        <f>IF(A989="","",A989/Calculator!$B$27)</f>
        <v/>
      </c>
      <c r="C989" s="15">
        <f>IF(A989="","",Calculator!$B$27-A989)</f>
        <v/>
      </c>
      <c r="D989" s="17">
        <f>IF(A989="","",(Calculator!$B$11+C989)*Calculator!$B$5)</f>
        <v/>
      </c>
      <c r="E989" s="12">
        <f>IF(A989="","",IF(Calculator!$B$17=1,ROUNDUP(D989*Calculator!$B$8/3600/Calculator!$B$24-0.000000001,0),D989*Calculator!$B$8/3600/Calculator!$B$24))</f>
        <v/>
      </c>
      <c r="F989" s="16">
        <f>IF(A989="","",IF(Calculator!$B$16=1,Calculator!$B$27,A989)*Calculator!$B$5*Calculator!$B$15)</f>
        <v/>
      </c>
      <c r="G989" s="16">
        <f>IF(A989="","",E989*Calculator!$B$6+Calculator!$C$37+F989+Calculator!$B$30)</f>
        <v/>
      </c>
      <c r="H989" s="16">
        <f>IF(A989="","",Calculator!$B$40-G989)</f>
        <v/>
      </c>
      <c r="I989" s="17">
        <f>IF(A989="","",A989*Calculator!$B$5*Calculator!$B$8/3600)</f>
        <v/>
      </c>
      <c r="J989" s="12">
        <f>IF(A989="","",Calculator!$B$35-E989)</f>
        <v/>
      </c>
    </row>
    <row r="990">
      <c r="A990" s="15">
        <f>IF(988/1000&lt;=Calculator!$B$27+0.0000001,988/1000,"")</f>
        <v/>
      </c>
      <c r="B990" s="15">
        <f>IF(A990="","",A990/Calculator!$B$27)</f>
        <v/>
      </c>
      <c r="C990" s="15">
        <f>IF(A990="","",Calculator!$B$27-A990)</f>
        <v/>
      </c>
      <c r="D990" s="17">
        <f>IF(A990="","",(Calculator!$B$11+C990)*Calculator!$B$5)</f>
        <v/>
      </c>
      <c r="E990" s="12">
        <f>IF(A990="","",IF(Calculator!$B$17=1,ROUNDUP(D990*Calculator!$B$8/3600/Calculator!$B$24-0.000000001,0),D990*Calculator!$B$8/3600/Calculator!$B$24))</f>
        <v/>
      </c>
      <c r="F990" s="16">
        <f>IF(A990="","",IF(Calculator!$B$16=1,Calculator!$B$27,A990)*Calculator!$B$5*Calculator!$B$15)</f>
        <v/>
      </c>
      <c r="G990" s="16">
        <f>IF(A990="","",E990*Calculator!$B$6+Calculator!$C$37+F990+Calculator!$B$30)</f>
        <v/>
      </c>
      <c r="H990" s="16">
        <f>IF(A990="","",Calculator!$B$40-G990)</f>
        <v/>
      </c>
      <c r="I990" s="17">
        <f>IF(A990="","",A990*Calculator!$B$5*Calculator!$B$8/3600)</f>
        <v/>
      </c>
      <c r="J990" s="12">
        <f>IF(A990="","",Calculator!$B$35-E990)</f>
        <v/>
      </c>
    </row>
    <row r="991">
      <c r="A991" s="15">
        <f>IF(989/1000&lt;=Calculator!$B$27+0.0000001,989/1000,"")</f>
        <v/>
      </c>
      <c r="B991" s="15">
        <f>IF(A991="","",A991/Calculator!$B$27)</f>
        <v/>
      </c>
      <c r="C991" s="15">
        <f>IF(A991="","",Calculator!$B$27-A991)</f>
        <v/>
      </c>
      <c r="D991" s="17">
        <f>IF(A991="","",(Calculator!$B$11+C991)*Calculator!$B$5)</f>
        <v/>
      </c>
      <c r="E991" s="12">
        <f>IF(A991="","",IF(Calculator!$B$17=1,ROUNDUP(D991*Calculator!$B$8/3600/Calculator!$B$24-0.000000001,0),D991*Calculator!$B$8/3600/Calculator!$B$24))</f>
        <v/>
      </c>
      <c r="F991" s="16">
        <f>IF(A991="","",IF(Calculator!$B$16=1,Calculator!$B$27,A991)*Calculator!$B$5*Calculator!$B$15)</f>
        <v/>
      </c>
      <c r="G991" s="16">
        <f>IF(A991="","",E991*Calculator!$B$6+Calculator!$C$37+F991+Calculator!$B$30)</f>
        <v/>
      </c>
      <c r="H991" s="16">
        <f>IF(A991="","",Calculator!$B$40-G991)</f>
        <v/>
      </c>
      <c r="I991" s="17">
        <f>IF(A991="","",A991*Calculator!$B$5*Calculator!$B$8/3600)</f>
        <v/>
      </c>
      <c r="J991" s="12">
        <f>IF(A991="","",Calculator!$B$35-E991)</f>
        <v/>
      </c>
    </row>
    <row r="992">
      <c r="A992" s="15">
        <f>IF(990/1000&lt;=Calculator!$B$27+0.0000001,990/1000,"")</f>
        <v/>
      </c>
      <c r="B992" s="15">
        <f>IF(A992="","",A992/Calculator!$B$27)</f>
        <v/>
      </c>
      <c r="C992" s="15">
        <f>IF(A992="","",Calculator!$B$27-A992)</f>
        <v/>
      </c>
      <c r="D992" s="17">
        <f>IF(A992="","",(Calculator!$B$11+C992)*Calculator!$B$5)</f>
        <v/>
      </c>
      <c r="E992" s="12">
        <f>IF(A992="","",IF(Calculator!$B$17=1,ROUNDUP(D992*Calculator!$B$8/3600/Calculator!$B$24-0.000000001,0),D992*Calculator!$B$8/3600/Calculator!$B$24))</f>
        <v/>
      </c>
      <c r="F992" s="16">
        <f>IF(A992="","",IF(Calculator!$B$16=1,Calculator!$B$27,A992)*Calculator!$B$5*Calculator!$B$15)</f>
        <v/>
      </c>
      <c r="G992" s="16">
        <f>IF(A992="","",E992*Calculator!$B$6+Calculator!$C$37+F992+Calculator!$B$30)</f>
        <v/>
      </c>
      <c r="H992" s="16">
        <f>IF(A992="","",Calculator!$B$40-G992)</f>
        <v/>
      </c>
      <c r="I992" s="17">
        <f>IF(A992="","",A992*Calculator!$B$5*Calculator!$B$8/3600)</f>
        <v/>
      </c>
      <c r="J992" s="12">
        <f>IF(A992="","",Calculator!$B$35-E992)</f>
        <v/>
      </c>
    </row>
    <row r="993">
      <c r="A993" s="15">
        <f>IF(991/1000&lt;=Calculator!$B$27+0.0000001,991/1000,"")</f>
        <v/>
      </c>
      <c r="B993" s="15">
        <f>IF(A993="","",A993/Calculator!$B$27)</f>
        <v/>
      </c>
      <c r="C993" s="15">
        <f>IF(A993="","",Calculator!$B$27-A993)</f>
        <v/>
      </c>
      <c r="D993" s="17">
        <f>IF(A993="","",(Calculator!$B$11+C993)*Calculator!$B$5)</f>
        <v/>
      </c>
      <c r="E993" s="12">
        <f>IF(A993="","",IF(Calculator!$B$17=1,ROUNDUP(D993*Calculator!$B$8/3600/Calculator!$B$24-0.000000001,0),D993*Calculator!$B$8/3600/Calculator!$B$24))</f>
        <v/>
      </c>
      <c r="F993" s="16">
        <f>IF(A993="","",IF(Calculator!$B$16=1,Calculator!$B$27,A993)*Calculator!$B$5*Calculator!$B$15)</f>
        <v/>
      </c>
      <c r="G993" s="16">
        <f>IF(A993="","",E993*Calculator!$B$6+Calculator!$C$37+F993+Calculator!$B$30)</f>
        <v/>
      </c>
      <c r="H993" s="16">
        <f>IF(A993="","",Calculator!$B$40-G993)</f>
        <v/>
      </c>
      <c r="I993" s="17">
        <f>IF(A993="","",A993*Calculator!$B$5*Calculator!$B$8/3600)</f>
        <v/>
      </c>
      <c r="J993" s="12">
        <f>IF(A993="","",Calculator!$B$35-E993)</f>
        <v/>
      </c>
    </row>
    <row r="994">
      <c r="A994" s="15">
        <f>IF(992/1000&lt;=Calculator!$B$27+0.0000001,992/1000,"")</f>
        <v/>
      </c>
      <c r="B994" s="15">
        <f>IF(A994="","",A994/Calculator!$B$27)</f>
        <v/>
      </c>
      <c r="C994" s="15">
        <f>IF(A994="","",Calculator!$B$27-A994)</f>
        <v/>
      </c>
      <c r="D994" s="17">
        <f>IF(A994="","",(Calculator!$B$11+C994)*Calculator!$B$5)</f>
        <v/>
      </c>
      <c r="E994" s="12">
        <f>IF(A994="","",IF(Calculator!$B$17=1,ROUNDUP(D994*Calculator!$B$8/3600/Calculator!$B$24-0.000000001,0),D994*Calculator!$B$8/3600/Calculator!$B$24))</f>
        <v/>
      </c>
      <c r="F994" s="16">
        <f>IF(A994="","",IF(Calculator!$B$16=1,Calculator!$B$27,A994)*Calculator!$B$5*Calculator!$B$15)</f>
        <v/>
      </c>
      <c r="G994" s="16">
        <f>IF(A994="","",E994*Calculator!$B$6+Calculator!$C$37+F994+Calculator!$B$30)</f>
        <v/>
      </c>
      <c r="H994" s="16">
        <f>IF(A994="","",Calculator!$B$40-G994)</f>
        <v/>
      </c>
      <c r="I994" s="17">
        <f>IF(A994="","",A994*Calculator!$B$5*Calculator!$B$8/3600)</f>
        <v/>
      </c>
      <c r="J994" s="12">
        <f>IF(A994="","",Calculator!$B$35-E994)</f>
        <v/>
      </c>
    </row>
    <row r="995">
      <c r="A995" s="15">
        <f>IF(993/1000&lt;=Calculator!$B$27+0.0000001,993/1000,"")</f>
        <v/>
      </c>
      <c r="B995" s="15">
        <f>IF(A995="","",A995/Calculator!$B$27)</f>
        <v/>
      </c>
      <c r="C995" s="15">
        <f>IF(A995="","",Calculator!$B$27-A995)</f>
        <v/>
      </c>
      <c r="D995" s="17">
        <f>IF(A995="","",(Calculator!$B$11+C995)*Calculator!$B$5)</f>
        <v/>
      </c>
      <c r="E995" s="12">
        <f>IF(A995="","",IF(Calculator!$B$17=1,ROUNDUP(D995*Calculator!$B$8/3600/Calculator!$B$24-0.000000001,0),D995*Calculator!$B$8/3600/Calculator!$B$24))</f>
        <v/>
      </c>
      <c r="F995" s="16">
        <f>IF(A995="","",IF(Calculator!$B$16=1,Calculator!$B$27,A995)*Calculator!$B$5*Calculator!$B$15)</f>
        <v/>
      </c>
      <c r="G995" s="16">
        <f>IF(A995="","",E995*Calculator!$B$6+Calculator!$C$37+F995+Calculator!$B$30)</f>
        <v/>
      </c>
      <c r="H995" s="16">
        <f>IF(A995="","",Calculator!$B$40-G995)</f>
        <v/>
      </c>
      <c r="I995" s="17">
        <f>IF(A995="","",A995*Calculator!$B$5*Calculator!$B$8/3600)</f>
        <v/>
      </c>
      <c r="J995" s="12">
        <f>IF(A995="","",Calculator!$B$35-E995)</f>
        <v/>
      </c>
    </row>
    <row r="996">
      <c r="A996" s="15">
        <f>IF(994/1000&lt;=Calculator!$B$27+0.0000001,994/1000,"")</f>
        <v/>
      </c>
      <c r="B996" s="15">
        <f>IF(A996="","",A996/Calculator!$B$27)</f>
        <v/>
      </c>
      <c r="C996" s="15">
        <f>IF(A996="","",Calculator!$B$27-A996)</f>
        <v/>
      </c>
      <c r="D996" s="17">
        <f>IF(A996="","",(Calculator!$B$11+C996)*Calculator!$B$5)</f>
        <v/>
      </c>
      <c r="E996" s="12">
        <f>IF(A996="","",IF(Calculator!$B$17=1,ROUNDUP(D996*Calculator!$B$8/3600/Calculator!$B$24-0.000000001,0),D996*Calculator!$B$8/3600/Calculator!$B$24))</f>
        <v/>
      </c>
      <c r="F996" s="16">
        <f>IF(A996="","",IF(Calculator!$B$16=1,Calculator!$B$27,A996)*Calculator!$B$5*Calculator!$B$15)</f>
        <v/>
      </c>
      <c r="G996" s="16">
        <f>IF(A996="","",E996*Calculator!$B$6+Calculator!$C$37+F996+Calculator!$B$30)</f>
        <v/>
      </c>
      <c r="H996" s="16">
        <f>IF(A996="","",Calculator!$B$40-G996)</f>
        <v/>
      </c>
      <c r="I996" s="17">
        <f>IF(A996="","",A996*Calculator!$B$5*Calculator!$B$8/3600)</f>
        <v/>
      </c>
      <c r="J996" s="12">
        <f>IF(A996="","",Calculator!$B$35-E996)</f>
        <v/>
      </c>
    </row>
    <row r="997">
      <c r="A997" s="15">
        <f>IF(995/1000&lt;=Calculator!$B$27+0.0000001,995/1000,"")</f>
        <v/>
      </c>
      <c r="B997" s="15">
        <f>IF(A997="","",A997/Calculator!$B$27)</f>
        <v/>
      </c>
      <c r="C997" s="15">
        <f>IF(A997="","",Calculator!$B$27-A997)</f>
        <v/>
      </c>
      <c r="D997" s="17">
        <f>IF(A997="","",(Calculator!$B$11+C997)*Calculator!$B$5)</f>
        <v/>
      </c>
      <c r="E997" s="12">
        <f>IF(A997="","",IF(Calculator!$B$17=1,ROUNDUP(D997*Calculator!$B$8/3600/Calculator!$B$24-0.000000001,0),D997*Calculator!$B$8/3600/Calculator!$B$24))</f>
        <v/>
      </c>
      <c r="F997" s="16">
        <f>IF(A997="","",IF(Calculator!$B$16=1,Calculator!$B$27,A997)*Calculator!$B$5*Calculator!$B$15)</f>
        <v/>
      </c>
      <c r="G997" s="16">
        <f>IF(A997="","",E997*Calculator!$B$6+Calculator!$C$37+F997+Calculator!$B$30)</f>
        <v/>
      </c>
      <c r="H997" s="16">
        <f>IF(A997="","",Calculator!$B$40-G997)</f>
        <v/>
      </c>
      <c r="I997" s="17">
        <f>IF(A997="","",A997*Calculator!$B$5*Calculator!$B$8/3600)</f>
        <v/>
      </c>
      <c r="J997" s="12">
        <f>IF(A997="","",Calculator!$B$35-E997)</f>
        <v/>
      </c>
    </row>
    <row r="998">
      <c r="A998" s="15">
        <f>IF(996/1000&lt;=Calculator!$B$27+0.0000001,996/1000,"")</f>
        <v/>
      </c>
      <c r="B998" s="15">
        <f>IF(A998="","",A998/Calculator!$B$27)</f>
        <v/>
      </c>
      <c r="C998" s="15">
        <f>IF(A998="","",Calculator!$B$27-A998)</f>
        <v/>
      </c>
      <c r="D998" s="17">
        <f>IF(A998="","",(Calculator!$B$11+C998)*Calculator!$B$5)</f>
        <v/>
      </c>
      <c r="E998" s="12">
        <f>IF(A998="","",IF(Calculator!$B$17=1,ROUNDUP(D998*Calculator!$B$8/3600/Calculator!$B$24-0.000000001,0),D998*Calculator!$B$8/3600/Calculator!$B$24))</f>
        <v/>
      </c>
      <c r="F998" s="16">
        <f>IF(A998="","",IF(Calculator!$B$16=1,Calculator!$B$27,A998)*Calculator!$B$5*Calculator!$B$15)</f>
        <v/>
      </c>
      <c r="G998" s="16">
        <f>IF(A998="","",E998*Calculator!$B$6+Calculator!$C$37+F998+Calculator!$B$30)</f>
        <v/>
      </c>
      <c r="H998" s="16">
        <f>IF(A998="","",Calculator!$B$40-G998)</f>
        <v/>
      </c>
      <c r="I998" s="17">
        <f>IF(A998="","",A998*Calculator!$B$5*Calculator!$B$8/3600)</f>
        <v/>
      </c>
      <c r="J998" s="12">
        <f>IF(A998="","",Calculator!$B$35-E998)</f>
        <v/>
      </c>
    </row>
    <row r="999">
      <c r="A999" s="15">
        <f>IF(997/1000&lt;=Calculator!$B$27+0.0000001,997/1000,"")</f>
        <v/>
      </c>
      <c r="B999" s="15">
        <f>IF(A999="","",A999/Calculator!$B$27)</f>
        <v/>
      </c>
      <c r="C999" s="15">
        <f>IF(A999="","",Calculator!$B$27-A999)</f>
        <v/>
      </c>
      <c r="D999" s="17">
        <f>IF(A999="","",(Calculator!$B$11+C999)*Calculator!$B$5)</f>
        <v/>
      </c>
      <c r="E999" s="12">
        <f>IF(A999="","",IF(Calculator!$B$17=1,ROUNDUP(D999*Calculator!$B$8/3600/Calculator!$B$24-0.000000001,0),D999*Calculator!$B$8/3600/Calculator!$B$24))</f>
        <v/>
      </c>
      <c r="F999" s="16">
        <f>IF(A999="","",IF(Calculator!$B$16=1,Calculator!$B$27,A999)*Calculator!$B$5*Calculator!$B$15)</f>
        <v/>
      </c>
      <c r="G999" s="16">
        <f>IF(A999="","",E999*Calculator!$B$6+Calculator!$C$37+F999+Calculator!$B$30)</f>
        <v/>
      </c>
      <c r="H999" s="16">
        <f>IF(A999="","",Calculator!$B$40-G999)</f>
        <v/>
      </c>
      <c r="I999" s="17">
        <f>IF(A999="","",A999*Calculator!$B$5*Calculator!$B$8/3600)</f>
        <v/>
      </c>
      <c r="J999" s="12">
        <f>IF(A999="","",Calculator!$B$35-E999)</f>
        <v/>
      </c>
    </row>
    <row r="1000">
      <c r="A1000" s="15">
        <f>IF(998/1000&lt;=Calculator!$B$27+0.0000001,998/1000,"")</f>
        <v/>
      </c>
      <c r="B1000" s="15">
        <f>IF(A1000="","",A1000/Calculator!$B$27)</f>
        <v/>
      </c>
      <c r="C1000" s="15">
        <f>IF(A1000="","",Calculator!$B$27-A1000)</f>
        <v/>
      </c>
      <c r="D1000" s="17">
        <f>IF(A1000="","",(Calculator!$B$11+C1000)*Calculator!$B$5)</f>
        <v/>
      </c>
      <c r="E1000" s="12">
        <f>IF(A1000="","",IF(Calculator!$B$17=1,ROUNDUP(D1000*Calculator!$B$8/3600/Calculator!$B$24-0.000000001,0),D1000*Calculator!$B$8/3600/Calculator!$B$24))</f>
        <v/>
      </c>
      <c r="F1000" s="16">
        <f>IF(A1000="","",IF(Calculator!$B$16=1,Calculator!$B$27,A1000)*Calculator!$B$5*Calculator!$B$15)</f>
        <v/>
      </c>
      <c r="G1000" s="16">
        <f>IF(A1000="","",E1000*Calculator!$B$6+Calculator!$C$37+F1000+Calculator!$B$30)</f>
        <v/>
      </c>
      <c r="H1000" s="16">
        <f>IF(A1000="","",Calculator!$B$40-G1000)</f>
        <v/>
      </c>
      <c r="I1000" s="17">
        <f>IF(A1000="","",A1000*Calculator!$B$5*Calculator!$B$8/3600)</f>
        <v/>
      </c>
      <c r="J1000" s="12">
        <f>IF(A1000="","",Calculator!$B$35-E1000)</f>
        <v/>
      </c>
    </row>
    <row r="1001">
      <c r="A1001" s="15">
        <f>IF(999/1000&lt;=Calculator!$B$27+0.0000001,999/1000,"")</f>
        <v/>
      </c>
      <c r="B1001" s="15">
        <f>IF(A1001="","",A1001/Calculator!$B$27)</f>
        <v/>
      </c>
      <c r="C1001" s="15">
        <f>IF(A1001="","",Calculator!$B$27-A1001)</f>
        <v/>
      </c>
      <c r="D1001" s="17">
        <f>IF(A1001="","",(Calculator!$B$11+C1001)*Calculator!$B$5)</f>
        <v/>
      </c>
      <c r="E1001" s="12">
        <f>IF(A1001="","",IF(Calculator!$B$17=1,ROUNDUP(D1001*Calculator!$B$8/3600/Calculator!$B$24-0.000000001,0),D1001*Calculator!$B$8/3600/Calculator!$B$24))</f>
        <v/>
      </c>
      <c r="F1001" s="16">
        <f>IF(A1001="","",IF(Calculator!$B$16=1,Calculator!$B$27,A1001)*Calculator!$B$5*Calculator!$B$15)</f>
        <v/>
      </c>
      <c r="G1001" s="16">
        <f>IF(A1001="","",E1001*Calculator!$B$6+Calculator!$C$37+F1001+Calculator!$B$30)</f>
        <v/>
      </c>
      <c r="H1001" s="16">
        <f>IF(A1001="","",Calculator!$B$40-G1001)</f>
        <v/>
      </c>
      <c r="I1001" s="17">
        <f>IF(A1001="","",A1001*Calculator!$B$5*Calculator!$B$8/3600)</f>
        <v/>
      </c>
      <c r="J1001" s="12">
        <f>IF(A1001="","",Calculator!$B$35-E1001)</f>
        <v/>
      </c>
    </row>
    <row r="1002">
      <c r="A1002" s="15">
        <f>IF(1000/1000&lt;=Calculator!$B$27+0.0000001,1000/1000,"")</f>
        <v/>
      </c>
      <c r="B1002" s="15">
        <f>IF(A1002="","",A1002/Calculator!$B$27)</f>
        <v/>
      </c>
      <c r="C1002" s="15">
        <f>IF(A1002="","",Calculator!$B$27-A1002)</f>
        <v/>
      </c>
      <c r="D1002" s="17">
        <f>IF(A1002="","",(Calculator!$B$11+C1002)*Calculator!$B$5)</f>
        <v/>
      </c>
      <c r="E1002" s="12">
        <f>IF(A1002="","",IF(Calculator!$B$17=1,ROUNDUP(D1002*Calculator!$B$8/3600/Calculator!$B$24-0.000000001,0),D1002*Calculator!$B$8/3600/Calculator!$B$24))</f>
        <v/>
      </c>
      <c r="F1002" s="16">
        <f>IF(A1002="","",IF(Calculator!$B$16=1,Calculator!$B$27,A1002)*Calculator!$B$5*Calculator!$B$15)</f>
        <v/>
      </c>
      <c r="G1002" s="16">
        <f>IF(A1002="","",E1002*Calculator!$B$6+Calculator!$C$37+F1002+Calculator!$B$30)</f>
        <v/>
      </c>
      <c r="H1002" s="16">
        <f>IF(A1002="","",Calculator!$B$40-G1002)</f>
        <v/>
      </c>
      <c r="I1002" s="17">
        <f>IF(A1002="","",A1002*Calculator!$B$5*Calculator!$B$8/3600)</f>
        <v/>
      </c>
      <c r="J1002" s="12">
        <f>IF(A1002="","",Calculator!$B$35-E1002)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  <col width="18" customWidth="1" min="3" max="3"/>
    <col width="12" customWidth="1" min="4" max="4"/>
  </cols>
  <sheetData>
    <row r="1">
      <c r="A1" s="2" t="inlineStr">
        <is>
          <t>Sanity check</t>
        </is>
      </c>
      <c r="B1" s="2" t="inlineStr">
        <is>
          <t>Expected</t>
        </is>
      </c>
      <c r="C1" s="2" t="inlineStr">
        <is>
          <t>Workbook</t>
        </is>
      </c>
      <c r="D1" s="2" t="inlineStr">
        <is>
          <t>Pass?</t>
        </is>
      </c>
    </row>
    <row r="2">
      <c r="A2" t="inlineStr">
        <is>
          <t>Four paths add to 100%</t>
        </is>
      </c>
      <c r="B2" s="15">
        <f>1</f>
        <v/>
      </c>
      <c r="C2" s="15">
        <f>Calculator!B29</f>
        <v/>
      </c>
      <c r="D2">
        <f>IF(ABS(B2-C2)&lt;0.01,"PASS","FAIL")</f>
        <v/>
      </c>
    </row>
    <row r="3">
      <c r="A3" t="inlineStr">
        <is>
          <t>At 0% AVA: FTEs equal FTEs without AVA</t>
        </is>
      </c>
      <c r="B3" s="13">
        <f>Calculator!B35</f>
        <v/>
      </c>
      <c r="C3" s="13">
        <f>INDEX(Ladder!E:E,MATCH(ROUND(0,3),Ladder!A:A,0))</f>
        <v/>
      </c>
      <c r="D3">
        <f>IF(ABS(B3-C3)&lt;0.01,"PASS","FAIL")</f>
        <v/>
      </c>
    </row>
    <row r="4">
      <c r="A4" t="inlineStr">
        <is>
          <t>At 0% AVA: savings = IVR fees avoided − (AVA per-call cost + fixed) when AVA is charged on escalations</t>
        </is>
      </c>
      <c r="B4" s="16">
        <f>Calculator!$B$27*Calculator!$B$5*Calculator!$B$14-(IF(Calculator!$B$16=1,Calculator!$B$27*Calculator!$B$5*Calculator!$B$15,0)+Calculator!B30)</f>
        <v/>
      </c>
      <c r="C4" s="16">
        <f>INDEX(Ladder!H:H,MATCH(ROUND(0,3),Ladder!A:A,0))</f>
        <v/>
      </c>
      <c r="D4">
        <f>IF(ABS(B4-C4)&lt;0.01,"PASS","FAIL")</f>
        <v/>
      </c>
    </row>
    <row r="5">
      <c r="A5" t="inlineStr">
        <is>
          <t>At break-even: savings are zero or slightly positive</t>
        </is>
      </c>
      <c r="B5" s="16" t="inlineStr">
        <is>
          <t>≥ 0</t>
        </is>
      </c>
      <c r="C5" s="16">
        <f>INDEX(Ladder!H:H,MATCH(ROUND(Calculator!B55,3),Ladder!A:A,0))</f>
        <v/>
      </c>
      <c r="D5">
        <f>IF(C5&gt;=0,"PASS","FAIL")</f>
        <v/>
      </c>
    </row>
    <row r="6">
      <c r="A6" t="inlineStr">
        <is>
          <t>One step (0.1%) below break-even: savings are negative</t>
        </is>
      </c>
      <c r="B6" s="16" t="inlineStr">
        <is>
          <t>&lt; 0</t>
        </is>
      </c>
      <c r="C6" s="16">
        <f>IF(Calculator!B55=0,"n/a",INDEX(Ladder!H:H,MATCH(ROUND(Calculator!B55-0.001,3),Ladder!A:A,0)))</f>
        <v/>
      </c>
      <c r="D6">
        <f>IF(C6="n/a","n/a",IF(C6&lt;0,"PASS","FAIL"))</f>
        <v/>
      </c>
    </row>
    <row r="7">
      <c r="A7" t="inlineStr">
        <is>
          <t>At maximum AVA (all calls reaching AVA contained): only direct calls need FTEs</t>
        </is>
      </c>
      <c r="B7" s="13">
        <f>IF(Calculator!$B$17=1,ROUNDUP(Calculator!$B$11*Calculator!$B$5*Calculator!$B$8/3600/Calculator!B24-0.000000001,0),Calculator!$B$11*Calculator!$B$5*Calculator!$B$8/3600/Calculator!B24)</f>
        <v/>
      </c>
      <c r="C7" s="13">
        <f>INDEX(Ladder!E:E,MATCH(ROUND(Calculator!$B$27,3),Ladder!A:A,0))</f>
        <v/>
      </c>
      <c r="D7">
        <f>IF(ABS(B7-C7)&lt;0.01,"PASS","FAIL")</f>
        <v/>
      </c>
    </row>
    <row r="8">
      <c r="A8" t="inlineStr">
        <is>
          <t>Hours chain: labor saved + IVR avoided − AVA cost = total cost difference</t>
        </is>
      </c>
      <c r="B8" s="16">
        <f>Calculator!B42</f>
        <v/>
      </c>
      <c r="C8" s="16">
        <f>Calculator!B52</f>
        <v/>
      </c>
      <c r="D8">
        <f>IF(ABS(B8-C8)&lt;0.01,"PASS","FAIL")</f>
        <v/>
      </c>
    </row>
    <row r="9">
      <c r="A9" t="inlineStr">
        <is>
          <t>Fractional FTEs: FTEs saved = hours automated ÷ handle hours per FTE</t>
        </is>
      </c>
      <c r="B9" s="12">
        <f>Calculator!B47</f>
        <v/>
      </c>
      <c r="C9" s="12">
        <f>IF(Calculator!$B$17=1,"turn rounding off",Calculator!B48)</f>
        <v/>
      </c>
      <c r="D9">
        <f>IF(ISNUMBER(C9),IF(ABS(B9-C9)&lt;0.01,"PASS","FAIL"),"n/a")</f>
        <v/>
      </c>
    </row>
    <row r="10">
      <c r="A10" t="inlineStr">
        <is>
          <t>Fractional agents: labor = agent calls × agent cost per call</t>
        </is>
      </c>
      <c r="B10" s="16">
        <f>Calculator!B33*Calculator!B26</f>
        <v/>
      </c>
      <c r="C10" s="16">
        <f>IF(Calculator!$B$17=1,"turn rounding off",Calculator!B36)</f>
        <v/>
      </c>
      <c r="D10">
        <f>IF(ISNUMBER(C10),IF(ABS(B10-C10)&lt;0.01,"PASS","FAIL"),"n/a")</f>
        <v/>
      </c>
    </row>
    <row r="12">
      <c r="A12" s="11" t="inlineStr">
        <is>
          <t>The 0%-AVA savings check assumes 0% AVA leaves agents unchanged, which holds because both sides then route the same calls to agents.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2026-10-29T17:12:26Z</dcterms:created>
  <dcterms:modified xsi:type="dcterms:W3CDTF">2026-10-29T17:12:26Z</dcterms:modified>
</cp:coreProperties>
</file>